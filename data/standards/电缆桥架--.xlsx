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Q235" sheetId="18" r:id="rId1"/>
    <sheet name="Q355" sheetId="9" r:id="rId2"/>
    <sheet name="许用应力" sheetId="4" r:id="rId3"/>
    <sheet name="基础载荷" sheetId="1" r:id="rId4"/>
    <sheet name="螺栓 500 " sheetId="13" r:id="rId5"/>
    <sheet name="螺栓 600" sheetId="12" r:id="rId6"/>
    <sheet name="螺栓 300" sheetId="11" r:id="rId7"/>
    <sheet name="螺栓 200" sheetId="16" r:id="rId8"/>
    <sheet name="螺栓" sheetId="17" r:id="rId9"/>
    <sheet name="频率" sheetId="3" r:id="rId10"/>
    <sheet name="Sheet3" sheetId="8" r:id="rId11"/>
    <sheet name="异型钢焊缝评定" sheetId="14" r:id="rId12"/>
    <sheet name="托臂" sheetId="15" r:id="rId13"/>
  </sheets>
  <definedNames>
    <definedName name="_xlnm._FilterDatabase" localSheetId="12" hidden="1">托臂!$L$3:$L$18</definedName>
    <definedName name="jichuzaihe_LR0m" localSheetId="11">异型钢焊缝评定!#REF!</definedName>
  </definedNames>
  <calcPr calcId="162913"/>
</workbook>
</file>

<file path=xl/calcChain.xml><?xml version="1.0" encoding="utf-8"?>
<calcChain xmlns="http://schemas.openxmlformats.org/spreadsheetml/2006/main">
  <c r="J21" i="9" l="1"/>
  <c r="Q27" i="18"/>
  <c r="R27" i="18"/>
  <c r="S27" i="18"/>
  <c r="T27" i="18"/>
  <c r="Q28" i="18"/>
  <c r="R28" i="18"/>
  <c r="I2" i="18"/>
  <c r="F3" i="18"/>
  <c r="I3" i="18"/>
  <c r="S28" i="18"/>
  <c r="T28" i="18"/>
  <c r="Q31" i="18"/>
  <c r="T31" i="18"/>
  <c r="I27" i="18"/>
  <c r="B8" i="18"/>
  <c r="B9" i="18"/>
  <c r="K2" i="18"/>
  <c r="B10" i="18"/>
  <c r="B12" i="18"/>
  <c r="B13" i="18"/>
  <c r="B16" i="18"/>
  <c r="B11" i="18"/>
  <c r="B17" i="18"/>
  <c r="B14" i="18"/>
  <c r="B15" i="18"/>
  <c r="B18" i="18"/>
  <c r="B19" i="18"/>
  <c r="H2" i="18"/>
  <c r="S21" i="18"/>
  <c r="J21" i="18"/>
  <c r="J27" i="18"/>
  <c r="K27" i="18"/>
  <c r="I28" i="18"/>
  <c r="J28" i="18"/>
  <c r="K28" i="18"/>
  <c r="I31" i="18"/>
  <c r="K31" i="18"/>
  <c r="Q26" i="18"/>
  <c r="R26" i="18"/>
  <c r="G2" i="18"/>
  <c r="G3" i="18"/>
  <c r="S26" i="18"/>
  <c r="T26" i="18"/>
  <c r="Q30" i="18"/>
  <c r="T30" i="18"/>
  <c r="I26" i="18"/>
  <c r="J26" i="18"/>
  <c r="K26" i="18"/>
  <c r="I30" i="18"/>
  <c r="K30" i="18"/>
  <c r="Q29" i="18"/>
  <c r="R29" i="18"/>
  <c r="J2" i="18"/>
  <c r="J3" i="18"/>
  <c r="S29" i="18"/>
  <c r="T29" i="18"/>
  <c r="I29" i="18"/>
  <c r="J29" i="18"/>
  <c r="K29" i="18"/>
  <c r="Q21" i="18"/>
  <c r="R21" i="18"/>
  <c r="T21" i="18"/>
  <c r="Q22" i="18"/>
  <c r="R22" i="18"/>
  <c r="S22" i="18"/>
  <c r="T22" i="18"/>
  <c r="Q25" i="18"/>
  <c r="T25" i="18"/>
  <c r="I21" i="18"/>
  <c r="K21" i="18"/>
  <c r="I22" i="18"/>
  <c r="J22" i="18"/>
  <c r="K22" i="18"/>
  <c r="I25" i="18"/>
  <c r="K25" i="18"/>
  <c r="Q20" i="18"/>
  <c r="R20" i="18"/>
  <c r="S20" i="18"/>
  <c r="T20" i="18"/>
  <c r="Q24" i="18"/>
  <c r="T24" i="18"/>
  <c r="I20" i="18"/>
  <c r="J20" i="18"/>
  <c r="K20" i="18"/>
  <c r="I24" i="18"/>
  <c r="K24" i="18"/>
  <c r="B23" i="18"/>
  <c r="B24" i="18"/>
  <c r="Q23" i="18"/>
  <c r="R23" i="18"/>
  <c r="S23" i="18"/>
  <c r="T23" i="18"/>
  <c r="I23" i="18"/>
  <c r="J23" i="18"/>
  <c r="K23" i="18"/>
  <c r="H3" i="18"/>
  <c r="J27" i="9"/>
  <c r="J13" i="4"/>
  <c r="I13" i="4"/>
  <c r="K13" i="4"/>
  <c r="Q61" i="17"/>
  <c r="O61" i="17"/>
  <c r="S47" i="17"/>
  <c r="S48" i="17"/>
  <c r="S47" i="17" a="1"/>
  <c r="R47" i="17" a="1"/>
  <c r="R47" i="17"/>
  <c r="R48" i="17"/>
  <c r="Q47" i="17" a="1"/>
  <c r="Q47" i="17"/>
  <c r="Q48" i="17"/>
  <c r="P47" i="17" a="1"/>
  <c r="P47" i="17"/>
  <c r="P48" i="17"/>
  <c r="O47" i="17" a="1"/>
  <c r="O47" i="17"/>
  <c r="O48" i="17"/>
  <c r="N47" i="17" a="1"/>
  <c r="N47" i="17"/>
  <c r="N48" i="17"/>
  <c r="J47" i="17" a="1"/>
  <c r="J47" i="17"/>
  <c r="J48" i="17"/>
  <c r="I59" i="17"/>
  <c r="I47" i="17" a="1"/>
  <c r="I47" i="17"/>
  <c r="I48" i="17"/>
  <c r="H59" i="17"/>
  <c r="H47" i="17"/>
  <c r="H48" i="17"/>
  <c r="H47" i="17" a="1"/>
  <c r="G47" i="17" a="1"/>
  <c r="G47" i="17"/>
  <c r="G48" i="17"/>
  <c r="F47" i="17" a="1"/>
  <c r="F47" i="17"/>
  <c r="F48" i="17"/>
  <c r="F59" i="17"/>
  <c r="E47" i="17" a="1"/>
  <c r="E47" i="17"/>
  <c r="E48" i="17"/>
  <c r="O59" i="17"/>
  <c r="F60" i="17"/>
  <c r="E52" i="17"/>
  <c r="E54" i="17"/>
  <c r="G61" i="17"/>
  <c r="G59" i="17"/>
  <c r="E51" i="17"/>
  <c r="E53" i="17"/>
  <c r="E59" i="17"/>
  <c r="Q59" i="17"/>
  <c r="H60" i="17"/>
  <c r="N51" i="17"/>
  <c r="N53" i="17"/>
  <c r="N59" i="17"/>
  <c r="E60" i="17"/>
  <c r="N52" i="17"/>
  <c r="N54" i="17"/>
  <c r="P59" i="17"/>
  <c r="G60" i="17"/>
  <c r="R59" i="17"/>
  <c r="I60" i="17"/>
  <c r="E57" i="17"/>
  <c r="I61" i="17"/>
  <c r="E61" i="17"/>
  <c r="N57" i="17"/>
  <c r="E62" i="17"/>
  <c r="N61" i="17"/>
  <c r="G62" i="17"/>
  <c r="P61" i="17"/>
  <c r="I62" i="17"/>
  <c r="R61" i="17"/>
  <c r="J12" i="4"/>
  <c r="I12" i="4"/>
  <c r="K12" i="4"/>
  <c r="Q19" i="16"/>
  <c r="O19" i="16"/>
  <c r="S5" i="16"/>
  <c r="S6" i="16"/>
  <c r="R5" i="16"/>
  <c r="R6" i="16"/>
  <c r="Q17" i="16"/>
  <c r="Q5" i="16"/>
  <c r="Q6" i="16"/>
  <c r="P5" i="16"/>
  <c r="P6" i="16"/>
  <c r="P17" i="16"/>
  <c r="O5" i="16"/>
  <c r="O6" i="16"/>
  <c r="O17" i="16"/>
  <c r="N5" i="16"/>
  <c r="N6" i="16"/>
  <c r="J5" i="16"/>
  <c r="J6" i="16"/>
  <c r="I17" i="16"/>
  <c r="I5" i="16"/>
  <c r="I6" i="16"/>
  <c r="H17" i="16"/>
  <c r="H5" i="16"/>
  <c r="H6" i="16"/>
  <c r="G5" i="16"/>
  <c r="G6" i="16"/>
  <c r="E10" i="16"/>
  <c r="F5" i="16"/>
  <c r="F6" i="16"/>
  <c r="F17" i="16"/>
  <c r="E5" i="16"/>
  <c r="E6" i="16"/>
  <c r="N9" i="16"/>
  <c r="N11" i="16"/>
  <c r="N19" i="16"/>
  <c r="E9" i="16"/>
  <c r="N10" i="16"/>
  <c r="E12" i="16"/>
  <c r="G19" i="16"/>
  <c r="E11" i="16"/>
  <c r="N12" i="16"/>
  <c r="G20" i="16"/>
  <c r="G18" i="16"/>
  <c r="E18" i="16"/>
  <c r="H18" i="16"/>
  <c r="F18" i="16"/>
  <c r="R17" i="16"/>
  <c r="I18" i="16"/>
  <c r="E17" i="16"/>
  <c r="G17" i="16"/>
  <c r="N17" i="16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Q61" i="8"/>
  <c r="R31" i="8"/>
  <c r="C31" i="8"/>
  <c r="P19" i="16"/>
  <c r="M61" i="8"/>
  <c r="N15" i="16"/>
  <c r="I20" i="16"/>
  <c r="E20" i="16"/>
  <c r="E15" i="16"/>
  <c r="I19" i="16"/>
  <c r="E19" i="16"/>
  <c r="R61" i="8"/>
  <c r="I61" i="8"/>
  <c r="H61" i="8"/>
  <c r="P61" i="8"/>
  <c r="J61" i="8"/>
  <c r="E61" i="8"/>
  <c r="G61" i="8"/>
  <c r="F61" i="8"/>
  <c r="O61" i="8"/>
  <c r="D61" i="8"/>
  <c r="C61" i="8"/>
  <c r="N61" i="8"/>
  <c r="L61" i="8"/>
  <c r="K61" i="8"/>
  <c r="E37" i="1"/>
  <c r="G37" i="1"/>
  <c r="E52" i="15" a="1"/>
  <c r="E52" i="15"/>
  <c r="E53" i="15"/>
  <c r="I35" i="14"/>
  <c r="F52" i="15" a="1"/>
  <c r="F52" i="15"/>
  <c r="F53" i="15"/>
  <c r="J35" i="14"/>
  <c r="G52" i="15" a="1"/>
  <c r="G52" i="15"/>
  <c r="G53" i="15"/>
  <c r="K35" i="14"/>
  <c r="H52" i="15" a="1"/>
  <c r="H52" i="15"/>
  <c r="H53" i="15"/>
  <c r="I52" i="15" a="1"/>
  <c r="I52" i="15"/>
  <c r="I53" i="15"/>
  <c r="L35" i="14"/>
  <c r="J52" i="15" a="1"/>
  <c r="J52" i="15"/>
  <c r="J53" i="15"/>
  <c r="M35" i="14"/>
  <c r="N52" i="15" a="1"/>
  <c r="N52" i="15"/>
  <c r="N53" i="15"/>
  <c r="O52" i="15" a="1"/>
  <c r="O52" i="15"/>
  <c r="O53" i="15"/>
  <c r="P52" i="15" a="1"/>
  <c r="P52" i="15"/>
  <c r="P53" i="15"/>
  <c r="K36" i="14"/>
  <c r="Q52" i="15" a="1"/>
  <c r="Q52" i="15"/>
  <c r="Q53" i="15"/>
  <c r="R52" i="15" a="1"/>
  <c r="R52" i="15"/>
  <c r="R53" i="15"/>
  <c r="L36" i="14"/>
  <c r="S52" i="15" a="1"/>
  <c r="S52" i="15"/>
  <c r="S53" i="15"/>
  <c r="M36" i="14"/>
  <c r="J41" i="14"/>
  <c r="G46" i="14"/>
  <c r="G41" i="14"/>
  <c r="D41" i="14"/>
  <c r="D46" i="14"/>
  <c r="G40" i="14"/>
  <c r="J40" i="14"/>
  <c r="G45" i="14"/>
  <c r="D40" i="14"/>
  <c r="D45" i="14"/>
  <c r="J39" i="14"/>
  <c r="D39" i="14"/>
  <c r="F36" i="14"/>
  <c r="D36" i="14"/>
  <c r="F35" i="14"/>
  <c r="E35" i="14"/>
  <c r="K34" i="14"/>
  <c r="J34" i="14"/>
  <c r="I34" i="14"/>
  <c r="F34" i="14"/>
  <c r="J30" i="14"/>
  <c r="E34" i="14"/>
  <c r="N34" i="14"/>
  <c r="L34" i="14"/>
  <c r="E36" i="14"/>
  <c r="D35" i="14"/>
  <c r="D34" i="14"/>
  <c r="C39" i="14"/>
  <c r="M34" i="14"/>
  <c r="O34" i="14"/>
  <c r="E39" i="14"/>
  <c r="F39" i="14"/>
  <c r="H39" i="14"/>
  <c r="I39" i="14"/>
  <c r="K39" i="14"/>
  <c r="Q19" i="13"/>
  <c r="O19" i="13"/>
  <c r="S5" i="13"/>
  <c r="S6" i="13"/>
  <c r="R17" i="13"/>
  <c r="R5" i="13"/>
  <c r="R6" i="13"/>
  <c r="Q17" i="13"/>
  <c r="Q5" i="13"/>
  <c r="Q6" i="13"/>
  <c r="P5" i="13"/>
  <c r="P6" i="13"/>
  <c r="O5" i="13"/>
  <c r="O6" i="13"/>
  <c r="N5" i="13"/>
  <c r="N6" i="13"/>
  <c r="J5" i="13"/>
  <c r="J6" i="13"/>
  <c r="I17" i="13"/>
  <c r="I5" i="13"/>
  <c r="I6" i="13"/>
  <c r="H17" i="13"/>
  <c r="H5" i="13"/>
  <c r="H6" i="13"/>
  <c r="G5" i="13"/>
  <c r="G6" i="13"/>
  <c r="G17" i="13"/>
  <c r="F5" i="13"/>
  <c r="F6" i="13"/>
  <c r="F17" i="13"/>
  <c r="E5" i="13"/>
  <c r="E6" i="13"/>
  <c r="Q19" i="12"/>
  <c r="O19" i="12"/>
  <c r="S5" i="12"/>
  <c r="S6" i="12"/>
  <c r="R5" i="12"/>
  <c r="R6" i="12"/>
  <c r="Q5" i="12"/>
  <c r="Q6" i="12"/>
  <c r="P5" i="12"/>
  <c r="P6" i="12"/>
  <c r="O5" i="12"/>
  <c r="O6" i="12"/>
  <c r="N5" i="12"/>
  <c r="N6" i="12"/>
  <c r="J5" i="12"/>
  <c r="J6" i="12"/>
  <c r="I17" i="12"/>
  <c r="I5" i="12"/>
  <c r="I6" i="12"/>
  <c r="H17" i="12"/>
  <c r="H5" i="12"/>
  <c r="H6" i="12"/>
  <c r="G5" i="12"/>
  <c r="G6" i="12"/>
  <c r="F5" i="12"/>
  <c r="F6" i="12"/>
  <c r="F17" i="12"/>
  <c r="E5" i="12"/>
  <c r="E6" i="12"/>
  <c r="O5" i="11"/>
  <c r="O6" i="11"/>
  <c r="P5" i="11"/>
  <c r="P6" i="11"/>
  <c r="Q5" i="11"/>
  <c r="Q6" i="11"/>
  <c r="R5" i="11"/>
  <c r="R6" i="11"/>
  <c r="S5" i="11"/>
  <c r="S6" i="11"/>
  <c r="R17" i="11"/>
  <c r="N5" i="11"/>
  <c r="N6" i="11"/>
  <c r="F5" i="11"/>
  <c r="F6" i="11"/>
  <c r="F17" i="11"/>
  <c r="G5" i="11"/>
  <c r="G6" i="11"/>
  <c r="H5" i="11"/>
  <c r="H6" i="11"/>
  <c r="I5" i="11"/>
  <c r="I6" i="11"/>
  <c r="H17" i="11"/>
  <c r="J5" i="11"/>
  <c r="J6" i="11"/>
  <c r="I17" i="11"/>
  <c r="E5" i="11"/>
  <c r="E6" i="11"/>
  <c r="E17" i="11"/>
  <c r="Q19" i="11"/>
  <c r="O19" i="11"/>
  <c r="F37" i="1"/>
  <c r="I39" i="1"/>
  <c r="H39" i="1"/>
  <c r="J37" i="1"/>
  <c r="I37" i="1"/>
  <c r="H37" i="1"/>
  <c r="J39" i="1"/>
  <c r="G39" i="1"/>
  <c r="F39" i="1"/>
  <c r="E39" i="1"/>
  <c r="J38" i="1"/>
  <c r="I38" i="1"/>
  <c r="H38" i="1"/>
  <c r="G38" i="1"/>
  <c r="F38" i="1"/>
  <c r="E38" i="1"/>
  <c r="S20" i="9"/>
  <c r="G2" i="9"/>
  <c r="J20" i="9"/>
  <c r="Q29" i="9"/>
  <c r="R29" i="9"/>
  <c r="T29" i="9"/>
  <c r="Q28" i="9"/>
  <c r="R28" i="9"/>
  <c r="T28" i="9"/>
  <c r="Q27" i="9"/>
  <c r="R27" i="9"/>
  <c r="Q26" i="9"/>
  <c r="R26" i="9"/>
  <c r="T26" i="9"/>
  <c r="Q23" i="9"/>
  <c r="R23" i="9"/>
  <c r="T23" i="9"/>
  <c r="Q22" i="9"/>
  <c r="R22" i="9"/>
  <c r="T22" i="9"/>
  <c r="Q21" i="9"/>
  <c r="R21" i="9"/>
  <c r="Q20" i="9"/>
  <c r="R20" i="9"/>
  <c r="T20" i="9"/>
  <c r="I29" i="9"/>
  <c r="K29" i="9"/>
  <c r="I28" i="9"/>
  <c r="K28" i="9"/>
  <c r="I27" i="9"/>
  <c r="I26" i="9"/>
  <c r="K26" i="9"/>
  <c r="I23" i="9"/>
  <c r="K23" i="9"/>
  <c r="B23" i="9"/>
  <c r="I22" i="9"/>
  <c r="K22" i="9"/>
  <c r="I21" i="9"/>
  <c r="I20" i="9"/>
  <c r="K20" i="9"/>
  <c r="B11" i="9"/>
  <c r="B8" i="9"/>
  <c r="B9" i="9"/>
  <c r="F3" i="9"/>
  <c r="K2" i="9"/>
  <c r="B10" i="9"/>
  <c r="J2" i="9"/>
  <c r="S23" i="9"/>
  <c r="I2" i="9"/>
  <c r="J22" i="9"/>
  <c r="S22" i="9"/>
  <c r="I3" i="9"/>
  <c r="J3" i="9"/>
  <c r="B15" i="9"/>
  <c r="B13" i="9"/>
  <c r="J23" i="9"/>
  <c r="G3" i="9"/>
  <c r="J26" i="9"/>
  <c r="S26" i="9"/>
  <c r="J29" i="9"/>
  <c r="S29" i="9"/>
  <c r="J28" i="9"/>
  <c r="S28" i="9"/>
  <c r="I29" i="4"/>
  <c r="I30" i="4"/>
  <c r="I28" i="4"/>
  <c r="E29" i="4"/>
  <c r="E30" i="4"/>
  <c r="E28" i="4"/>
  <c r="E15" i="1" a="1"/>
  <c r="E15" i="1"/>
  <c r="E26" i="1"/>
  <c r="F15" i="1" a="1"/>
  <c r="F15" i="1"/>
  <c r="F26" i="1"/>
  <c r="G15" i="1" a="1"/>
  <c r="G15" i="1"/>
  <c r="G26" i="1"/>
  <c r="H15" i="1" a="1"/>
  <c r="H15" i="1"/>
  <c r="H26" i="1"/>
  <c r="I15" i="1" a="1"/>
  <c r="I15" i="1"/>
  <c r="I26" i="1"/>
  <c r="J15" i="1" a="1"/>
  <c r="J15" i="1"/>
  <c r="J26" i="1"/>
  <c r="H20" i="4"/>
  <c r="H21" i="4"/>
  <c r="H19" i="4"/>
  <c r="E21" i="4"/>
  <c r="E19" i="4"/>
  <c r="G19" i="4"/>
  <c r="J11" i="4"/>
  <c r="I11" i="4"/>
  <c r="K11" i="4"/>
  <c r="J10" i="4"/>
  <c r="I10" i="4"/>
  <c r="J9" i="4"/>
  <c r="I9" i="4"/>
  <c r="K9" i="4"/>
  <c r="J8" i="4"/>
  <c r="I8" i="4"/>
  <c r="J7" i="4"/>
  <c r="I7" i="4"/>
  <c r="K7" i="4"/>
  <c r="J6" i="4"/>
  <c r="I6" i="4"/>
  <c r="J5" i="4"/>
  <c r="I5" i="4"/>
  <c r="L5" i="4"/>
  <c r="J4" i="4"/>
  <c r="I4" i="4"/>
  <c r="J3" i="4"/>
  <c r="I3" i="4"/>
  <c r="K3" i="4"/>
  <c r="J2" i="4"/>
  <c r="I2" i="4"/>
  <c r="K2" i="4"/>
  <c r="K30" i="4"/>
  <c r="J30" i="4"/>
  <c r="L30" i="4"/>
  <c r="F30" i="4"/>
  <c r="H30" i="4"/>
  <c r="K29" i="4"/>
  <c r="J29" i="4"/>
  <c r="F29" i="4"/>
  <c r="H29" i="4"/>
  <c r="K28" i="4"/>
  <c r="J28" i="4"/>
  <c r="F28" i="4"/>
  <c r="H28" i="4"/>
  <c r="I21" i="4"/>
  <c r="I20" i="4"/>
  <c r="I19" i="4"/>
  <c r="L11" i="3"/>
  <c r="K11" i="3" s="1"/>
  <c r="J11" i="3"/>
  <c r="I11" i="3" s="1"/>
  <c r="L10" i="3"/>
  <c r="K10" i="3" s="1"/>
  <c r="J10" i="3"/>
  <c r="L9" i="3"/>
  <c r="K9" i="3" s="1"/>
  <c r="J9" i="3"/>
  <c r="L8" i="3"/>
  <c r="K8" i="3" s="1"/>
  <c r="J8" i="3"/>
  <c r="L7" i="3"/>
  <c r="K7" i="3" s="1"/>
  <c r="J7" i="3"/>
  <c r="J21" i="1" a="1"/>
  <c r="J21" i="1"/>
  <c r="J27" i="1"/>
  <c r="I21" i="1" a="1"/>
  <c r="I21" i="1"/>
  <c r="I27" i="1"/>
  <c r="H21" i="1" a="1"/>
  <c r="H21" i="1"/>
  <c r="H27" i="1"/>
  <c r="G21" i="1" a="1"/>
  <c r="G21" i="1"/>
  <c r="G27" i="1"/>
  <c r="F21" i="1" a="1"/>
  <c r="F21" i="1"/>
  <c r="F27" i="1"/>
  <c r="E21" i="1" a="1"/>
  <c r="E21" i="1"/>
  <c r="E27" i="1"/>
  <c r="J8" i="1" a="1"/>
  <c r="J8" i="1"/>
  <c r="J25" i="1"/>
  <c r="I8" i="1" a="1"/>
  <c r="I8" i="1"/>
  <c r="I25" i="1"/>
  <c r="H8" i="1" a="1"/>
  <c r="H8" i="1"/>
  <c r="H25" i="1"/>
  <c r="G8" i="1" a="1"/>
  <c r="G8" i="1"/>
  <c r="G25" i="1"/>
  <c r="F8" i="1" a="1"/>
  <c r="F8" i="1"/>
  <c r="F25" i="1"/>
  <c r="E8" i="1" a="1"/>
  <c r="E8" i="1"/>
  <c r="E25" i="1"/>
  <c r="K10" i="4"/>
  <c r="K8" i="4"/>
  <c r="K4" i="4"/>
  <c r="K6" i="4"/>
  <c r="L29" i="4"/>
  <c r="J19" i="4"/>
  <c r="J20" i="4"/>
  <c r="L28" i="4"/>
  <c r="I31" i="4"/>
  <c r="G21" i="4"/>
  <c r="E20" i="4"/>
  <c r="G20" i="4"/>
  <c r="E22" i="4"/>
  <c r="G22" i="4"/>
  <c r="J21" i="4"/>
  <c r="F31" i="4"/>
  <c r="H31" i="4"/>
  <c r="H22" i="4"/>
  <c r="J22" i="4"/>
  <c r="J31" i="4"/>
  <c r="L31" i="4"/>
  <c r="K5" i="4"/>
  <c r="N35" i="14"/>
  <c r="O35" i="14"/>
  <c r="N36" i="14"/>
  <c r="O36" i="14"/>
  <c r="N59" i="15"/>
  <c r="J36" i="14"/>
  <c r="N58" i="15"/>
  <c r="I36" i="14"/>
  <c r="R19" i="16"/>
  <c r="N9" i="11"/>
  <c r="N11" i="11"/>
  <c r="N17" i="11"/>
  <c r="E18" i="11"/>
  <c r="Q17" i="11"/>
  <c r="H18" i="11"/>
  <c r="N10" i="11"/>
  <c r="N12" i="11"/>
  <c r="O17" i="11"/>
  <c r="F18" i="11"/>
  <c r="G18" i="11"/>
  <c r="P17" i="11"/>
  <c r="I18" i="11"/>
  <c r="E10" i="11"/>
  <c r="E12" i="11"/>
  <c r="G19" i="11"/>
  <c r="G17" i="11"/>
  <c r="E9" i="11"/>
  <c r="E11" i="11"/>
  <c r="N17" i="12"/>
  <c r="E18" i="12"/>
  <c r="E9" i="12"/>
  <c r="E11" i="12"/>
  <c r="E19" i="12"/>
  <c r="O17" i="12"/>
  <c r="N9" i="12"/>
  <c r="N11" i="12"/>
  <c r="F18" i="12"/>
  <c r="P17" i="12"/>
  <c r="N10" i="12"/>
  <c r="N12" i="12"/>
  <c r="G18" i="12"/>
  <c r="H18" i="12"/>
  <c r="Q17" i="12"/>
  <c r="R17" i="12"/>
  <c r="I18" i="12"/>
  <c r="G17" i="12"/>
  <c r="E10" i="12"/>
  <c r="E12" i="12"/>
  <c r="G19" i="12"/>
  <c r="E17" i="12"/>
  <c r="N9" i="13"/>
  <c r="N11" i="13"/>
  <c r="N19" i="13"/>
  <c r="I30" i="9"/>
  <c r="K30" i="9"/>
  <c r="I18" i="13"/>
  <c r="H18" i="13"/>
  <c r="Q24" i="9"/>
  <c r="T24" i="9"/>
  <c r="Q30" i="9"/>
  <c r="T30" i="9"/>
  <c r="O17" i="13"/>
  <c r="F18" i="13"/>
  <c r="N10" i="13"/>
  <c r="N12" i="13"/>
  <c r="G18" i="13"/>
  <c r="P17" i="13"/>
  <c r="E18" i="13"/>
  <c r="N17" i="13"/>
  <c r="E9" i="13"/>
  <c r="E11" i="13"/>
  <c r="E10" i="13"/>
  <c r="E12" i="13"/>
  <c r="G19" i="13"/>
  <c r="E17" i="13"/>
  <c r="S27" i="9"/>
  <c r="T27" i="9"/>
  <c r="Q31" i="9"/>
  <c r="T31" i="9"/>
  <c r="S21" i="9"/>
  <c r="T21" i="9"/>
  <c r="Q25" i="9"/>
  <c r="T25" i="9"/>
  <c r="I24" i="9"/>
  <c r="K24" i="9"/>
  <c r="B12" i="9"/>
  <c r="B14" i="9"/>
  <c r="B18" i="9"/>
  <c r="C40" i="14"/>
  <c r="E40" i="14"/>
  <c r="N60" i="15"/>
  <c r="C41" i="14"/>
  <c r="I41" i="14"/>
  <c r="P19" i="11"/>
  <c r="G20" i="11"/>
  <c r="E20" i="11"/>
  <c r="N19" i="11"/>
  <c r="N15" i="11"/>
  <c r="E19" i="11"/>
  <c r="E15" i="11"/>
  <c r="I19" i="11"/>
  <c r="E20" i="12"/>
  <c r="N19" i="12"/>
  <c r="N15" i="12"/>
  <c r="E15" i="12"/>
  <c r="I19" i="12"/>
  <c r="P19" i="12"/>
  <c r="G20" i="12"/>
  <c r="E20" i="13"/>
  <c r="G20" i="13"/>
  <c r="P19" i="13"/>
  <c r="N15" i="13"/>
  <c r="E15" i="13"/>
  <c r="I19" i="13"/>
  <c r="E19" i="13"/>
  <c r="B24" i="9"/>
  <c r="B16" i="9"/>
  <c r="B17" i="9"/>
  <c r="B19" i="9"/>
  <c r="H2" i="9"/>
  <c r="C45" i="14"/>
  <c r="E45" i="14"/>
  <c r="I40" i="14"/>
  <c r="K40" i="14"/>
  <c r="F40" i="14"/>
  <c r="H40" i="14"/>
  <c r="F46" i="14"/>
  <c r="H46" i="14"/>
  <c r="K41" i="14"/>
  <c r="E41" i="14"/>
  <c r="C46" i="14"/>
  <c r="E46" i="14"/>
  <c r="F41" i="14"/>
  <c r="H41" i="14"/>
  <c r="I20" i="11"/>
  <c r="R19" i="11"/>
  <c r="I20" i="12"/>
  <c r="R19" i="12"/>
  <c r="I20" i="13"/>
  <c r="R19" i="13"/>
  <c r="K21" i="9"/>
  <c r="I25" i="9"/>
  <c r="K25" i="9"/>
  <c r="H3" i="9"/>
  <c r="K27" i="9"/>
  <c r="I31" i="9"/>
  <c r="K31" i="9"/>
  <c r="F45" i="14"/>
  <c r="H45" i="14"/>
</calcChain>
</file>

<file path=xl/sharedStrings.xml><?xml version="1.0" encoding="utf-8"?>
<sst xmlns="http://schemas.openxmlformats.org/spreadsheetml/2006/main" count="587" uniqueCount="175">
  <si>
    <t>NODE</t>
  </si>
  <si>
    <t>FX</t>
  </si>
  <si>
    <t>FY</t>
  </si>
  <si>
    <t>FZ</t>
  </si>
  <si>
    <t>MX</t>
  </si>
  <si>
    <t>MY</t>
  </si>
  <si>
    <t>MZ</t>
  </si>
  <si>
    <t>提取点</t>
    <phoneticPr fontId="1" type="noConversion"/>
  </si>
  <si>
    <t>工况</t>
    <phoneticPr fontId="1" type="noConversion"/>
  </si>
  <si>
    <t>FX(N)</t>
  </si>
  <si>
    <t>FY(N)</t>
  </si>
  <si>
    <t>FZ(N)</t>
  </si>
  <si>
    <t>MX(Nm)</t>
  </si>
  <si>
    <t>MY(Nm)</t>
  </si>
  <si>
    <t>MZ(Nm)</t>
  </si>
  <si>
    <t>DW</t>
    <phoneticPr fontId="1" type="noConversion"/>
  </si>
  <si>
    <t>SL-1</t>
    <phoneticPr fontId="1" type="noConversion"/>
  </si>
  <si>
    <t>SL-2</t>
    <phoneticPr fontId="1" type="noConversion"/>
  </si>
  <si>
    <t>MAX</t>
    <phoneticPr fontId="3" type="noConversion"/>
  </si>
  <si>
    <t>S</t>
    <phoneticPr fontId="3" type="noConversion"/>
  </si>
  <si>
    <t>L</t>
    <phoneticPr fontId="3" type="noConversion"/>
  </si>
  <si>
    <t>剪力</t>
    <phoneticPr fontId="3" type="noConversion"/>
  </si>
  <si>
    <t>拉力</t>
    <phoneticPr fontId="3" type="noConversion"/>
  </si>
  <si>
    <t>剪应力</t>
    <phoneticPr fontId="3" type="noConversion"/>
  </si>
  <si>
    <t>拉应力</t>
    <phoneticPr fontId="3" type="noConversion"/>
  </si>
  <si>
    <t>许用剪应力</t>
    <phoneticPr fontId="3" type="noConversion"/>
  </si>
  <si>
    <t>许用拉应力</t>
    <phoneticPr fontId="3" type="noConversion"/>
  </si>
  <si>
    <t>应力比</t>
    <phoneticPr fontId="3" type="noConversion"/>
  </si>
  <si>
    <t>异常</t>
    <phoneticPr fontId="3" type="noConversion"/>
  </si>
  <si>
    <t>事故</t>
    <phoneticPr fontId="3" type="noConversion"/>
  </si>
  <si>
    <t>异常应力比</t>
    <phoneticPr fontId="3" type="noConversion"/>
  </si>
  <si>
    <t>事故应力比</t>
    <phoneticPr fontId="3" type="noConversion"/>
  </si>
  <si>
    <r>
      <t>阶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次</t>
    </r>
  </si>
  <si>
    <r>
      <t>频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率</t>
    </r>
    <r>
      <rPr>
        <sz val="12"/>
        <color indexed="8"/>
        <rFont val="Times New Roman"/>
        <family val="1"/>
      </rPr>
      <t>(HZ)</t>
    </r>
  </si>
  <si>
    <t>1</t>
    <phoneticPr fontId="3" type="noConversion"/>
  </si>
  <si>
    <t>异常工况</t>
    <phoneticPr fontId="1" type="noConversion"/>
  </si>
  <si>
    <t>事故工况</t>
    <phoneticPr fontId="1" type="noConversion"/>
  </si>
  <si>
    <t>计算应力</t>
    <phoneticPr fontId="1" type="noConversion"/>
  </si>
  <si>
    <t>许用应力</t>
    <phoneticPr fontId="1" type="noConversion"/>
  </si>
  <si>
    <t>比值</t>
    <phoneticPr fontId="1" type="noConversion"/>
  </si>
  <si>
    <t>支架</t>
    <phoneticPr fontId="1" type="noConversion"/>
  </si>
  <si>
    <t>拉伸应力</t>
  </si>
  <si>
    <t>弯曲应力</t>
  </si>
  <si>
    <t>剪切应力</t>
  </si>
  <si>
    <t>拉弯组合</t>
  </si>
  <si>
    <t>等效应力</t>
    <phoneticPr fontId="1" type="noConversion"/>
  </si>
  <si>
    <t>托臂</t>
    <phoneticPr fontId="1" type="noConversion"/>
  </si>
  <si>
    <t xml:space="preserve">托臂 </t>
  </si>
  <si>
    <t xml:space="preserve">Q355B </t>
    <phoneticPr fontId="1" type="noConversion"/>
  </si>
  <si>
    <t xml:space="preserve">方钢 </t>
  </si>
  <si>
    <t xml:space="preserve">Q235B </t>
  </si>
  <si>
    <t>100*6</t>
    <phoneticPr fontId="1" type="noConversion"/>
  </si>
  <si>
    <t>100*8</t>
    <phoneticPr fontId="1" type="noConversion"/>
  </si>
  <si>
    <t>120*6</t>
    <phoneticPr fontId="1" type="noConversion"/>
  </si>
  <si>
    <t>120*8</t>
    <phoneticPr fontId="1" type="noConversion"/>
  </si>
  <si>
    <t>120*10</t>
    <phoneticPr fontId="1" type="noConversion"/>
  </si>
  <si>
    <t>120*12</t>
    <phoneticPr fontId="1" type="noConversion"/>
  </si>
  <si>
    <t>Q355B</t>
    <phoneticPr fontId="1" type="noConversion"/>
  </si>
  <si>
    <t>140*6</t>
    <phoneticPr fontId="1" type="noConversion"/>
  </si>
  <si>
    <t>140*8</t>
    <phoneticPr fontId="1" type="noConversion"/>
  </si>
  <si>
    <t xml:space="preserve">工况级别 </t>
  </si>
  <si>
    <t xml:space="preserve">材料 </t>
  </si>
  <si>
    <r>
      <t xml:space="preserve">长度 </t>
    </r>
    <r>
      <rPr>
        <sz val="12"/>
        <color rgb="FF000000"/>
        <rFont val="Times New Roman"/>
        <family val="1"/>
      </rPr>
      <t xml:space="preserve">L
</t>
    </r>
    <r>
      <rPr>
        <sz val="12"/>
        <color rgb="FF000000"/>
        <rFont val="宋体"/>
        <family val="3"/>
        <charset val="134"/>
        <scheme val="minor"/>
      </rPr>
      <t xml:space="preserve">（ </t>
    </r>
    <r>
      <rPr>
        <sz val="12"/>
        <color rgb="FF000000"/>
        <rFont val="Times New Roman"/>
        <family val="1"/>
      </rPr>
      <t>m</t>
    </r>
    <r>
      <rPr>
        <sz val="12"/>
        <color rgb="FF000000"/>
        <rFont val="宋体"/>
        <family val="3"/>
        <charset val="134"/>
        <scheme val="minor"/>
      </rPr>
      <t xml:space="preserve">） </t>
    </r>
  </si>
  <si>
    <t xml:space="preserve">K </t>
  </si>
  <si>
    <r>
      <t>I</t>
    </r>
    <r>
      <rPr>
        <sz val="12"/>
        <color rgb="FF000000"/>
        <rFont val="宋体"/>
        <family val="3"/>
        <charset val="134"/>
        <scheme val="minor"/>
      </rPr>
      <t xml:space="preserve">（ </t>
    </r>
    <r>
      <rPr>
        <sz val="12"/>
        <color rgb="FF000000"/>
        <rFont val="Times New Roman"/>
        <family val="1"/>
      </rPr>
      <t>m</t>
    </r>
    <r>
      <rPr>
        <sz val="8"/>
        <color rgb="FF000000"/>
        <rFont val="Times New Roman"/>
        <family val="1"/>
      </rPr>
      <t>4</t>
    </r>
    <r>
      <rPr>
        <sz val="12"/>
        <color rgb="FF000000"/>
        <rFont val="宋体"/>
        <family val="3"/>
        <charset val="134"/>
        <scheme val="minor"/>
      </rPr>
      <t xml:space="preserve">） </t>
    </r>
  </si>
  <si>
    <t>E</t>
    <phoneticPr fontId="1" type="noConversion"/>
  </si>
  <si>
    <t>SY</t>
    <phoneticPr fontId="1" type="noConversion"/>
  </si>
  <si>
    <t>KL/R</t>
    <phoneticPr fontId="1" type="noConversion"/>
  </si>
  <si>
    <t>CC</t>
    <phoneticPr fontId="1" type="noConversion"/>
  </si>
  <si>
    <r>
      <rPr>
        <sz val="12"/>
        <color rgb="FF000000"/>
        <rFont val="宋体"/>
        <family val="2"/>
        <charset val="134"/>
      </rPr>
      <t>计算</t>
    </r>
    <phoneticPr fontId="1" type="noConversion"/>
  </si>
  <si>
    <t>M12</t>
    <phoneticPr fontId="1" type="noConversion"/>
  </si>
  <si>
    <r>
      <t>A</t>
    </r>
    <r>
      <rPr>
        <sz val="12"/>
        <color rgb="FF000000"/>
        <rFont val="宋体"/>
        <family val="3"/>
        <charset val="134"/>
        <scheme val="minor"/>
      </rPr>
      <t xml:space="preserve">（ </t>
    </r>
    <r>
      <rPr>
        <sz val="12"/>
        <color rgb="FF000000"/>
        <rFont val="Times New Roman"/>
        <family val="1"/>
      </rPr>
      <t>m</t>
    </r>
    <r>
      <rPr>
        <sz val="8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  <scheme val="minor"/>
      </rPr>
      <t xml:space="preserve">） </t>
    </r>
    <phoneticPr fontId="1" type="noConversion"/>
  </si>
  <si>
    <t>方钢托臂结构</t>
    <phoneticPr fontId="1" type="noConversion"/>
  </si>
  <si>
    <t>Y向</t>
    <phoneticPr fontId="1" type="noConversion"/>
  </si>
  <si>
    <t>截面未缩减</t>
    <phoneticPr fontId="1" type="noConversion"/>
  </si>
  <si>
    <t>材料</t>
    <phoneticPr fontId="1" type="noConversion"/>
  </si>
  <si>
    <t>抗拉强度
Su(MPa)</t>
    <phoneticPr fontId="1" type="noConversion"/>
  </si>
  <si>
    <t>屈服强度
Sy(MPa)</t>
    <phoneticPr fontId="1" type="noConversion"/>
  </si>
  <si>
    <t>E(MPa)</t>
    <phoneticPr fontId="1" type="noConversion"/>
  </si>
  <si>
    <t>拉伸应力</t>
    <phoneticPr fontId="1" type="noConversion"/>
  </si>
  <si>
    <t>压缩应力</t>
    <phoneticPr fontId="1" type="noConversion"/>
  </si>
  <si>
    <t>弯曲应力</t>
    <phoneticPr fontId="1" type="noConversion"/>
  </si>
  <si>
    <t>剪切应力</t>
    <phoneticPr fontId="1" type="noConversion"/>
  </si>
  <si>
    <t>Cc</t>
    <phoneticPr fontId="1" type="noConversion"/>
  </si>
  <si>
    <t>r</t>
    <phoneticPr fontId="1" type="noConversion"/>
  </si>
  <si>
    <t>计算压缩应力极限</t>
    <phoneticPr fontId="1" type="noConversion"/>
  </si>
  <si>
    <t>方程4  (kl/r&lt;Cc)</t>
    <phoneticPr fontId="1" type="noConversion"/>
  </si>
  <si>
    <t>K</t>
    <phoneticPr fontId="1" type="noConversion"/>
  </si>
  <si>
    <t>l(m)</t>
    <phoneticPr fontId="1" type="noConversion"/>
  </si>
  <si>
    <t>A</t>
    <phoneticPr fontId="1" type="noConversion"/>
  </si>
  <si>
    <t>I</t>
    <phoneticPr fontId="1" type="noConversion"/>
  </si>
  <si>
    <t>i(cm)</t>
    <phoneticPr fontId="1" type="noConversion"/>
  </si>
  <si>
    <t>kl/r</t>
    <phoneticPr fontId="1" type="noConversion"/>
  </si>
  <si>
    <t>Sy</t>
    <phoneticPr fontId="1" type="noConversion"/>
  </si>
  <si>
    <t>(kl/r)^2</t>
    <phoneticPr fontId="1" type="noConversion"/>
  </si>
  <si>
    <t>LSCASE</t>
  </si>
  <si>
    <t>TENSION</t>
  </si>
  <si>
    <t>COMPRESS</t>
  </si>
  <si>
    <t>BEND</t>
  </si>
  <si>
    <t>SHEAR</t>
  </si>
  <si>
    <t>(Cc)^2</t>
    <phoneticPr fontId="1" type="noConversion"/>
  </si>
  <si>
    <t>NORMAL</t>
  </si>
  <si>
    <t>(kl/r)^3</t>
    <phoneticPr fontId="1" type="noConversion"/>
  </si>
  <si>
    <t>UPSET</t>
  </si>
  <si>
    <t>(Cc)^3</t>
    <phoneticPr fontId="1" type="noConversion"/>
  </si>
  <si>
    <t>FAULTED</t>
  </si>
  <si>
    <t>1-0.5*(kl/r)^2/(Cc)^2</t>
    <phoneticPr fontId="1" type="noConversion"/>
  </si>
  <si>
    <t>(1-0.5*(kl/r)^2/(Cc)^2)*Sy</t>
    <phoneticPr fontId="1" type="noConversion"/>
  </si>
  <si>
    <t>5/3+0.375*(kl/r)/Cc-0.125*(kl/r)^3/(Cc)^3</t>
    <phoneticPr fontId="1" type="noConversion"/>
  </si>
  <si>
    <t>压缩应力限值Fa</t>
    <phoneticPr fontId="1" type="noConversion"/>
  </si>
  <si>
    <t>工况</t>
  </si>
  <si>
    <t>应力类型</t>
  </si>
  <si>
    <r>
      <t>计算值</t>
    </r>
    <r>
      <rPr>
        <sz val="12"/>
        <color theme="1"/>
        <rFont val="Times New Roman"/>
        <family val="1"/>
      </rPr>
      <t>(MPa)</t>
    </r>
  </si>
  <si>
    <r>
      <t>许用值</t>
    </r>
    <r>
      <rPr>
        <sz val="12"/>
        <color theme="1"/>
        <rFont val="Times New Roman"/>
        <family val="1"/>
      </rPr>
      <t>(MPa)</t>
    </r>
  </si>
  <si>
    <t>应力比</t>
  </si>
  <si>
    <t>正常异常</t>
  </si>
  <si>
    <t>方程5  (kl/r&gt;Cc)</t>
    <phoneticPr fontId="1" type="noConversion"/>
  </si>
  <si>
    <t>压缩应力</t>
  </si>
  <si>
    <t>12*3.14*3.14*E</t>
    <phoneticPr fontId="1" type="noConversion"/>
  </si>
  <si>
    <t>（12*3.14*3.14*E）/（23*（kl/r）^2）</t>
    <phoneticPr fontId="1" type="noConversion"/>
  </si>
  <si>
    <t>压弯组合</t>
  </si>
  <si>
    <t>事故</t>
  </si>
  <si>
    <r>
      <t>等效应力</t>
    </r>
    <r>
      <rPr>
        <sz val="12"/>
        <color theme="1"/>
        <rFont val="Times New Roman"/>
        <family val="1"/>
      </rPr>
      <t>(MPa)</t>
    </r>
    <phoneticPr fontId="1" type="noConversion"/>
  </si>
  <si>
    <t>/</t>
    <phoneticPr fontId="1" type="noConversion"/>
  </si>
  <si>
    <t>MAX</t>
  </si>
  <si>
    <t>90℃</t>
    <phoneticPr fontId="1" type="noConversion"/>
  </si>
  <si>
    <t>FX(m)</t>
  </si>
  <si>
    <t>FY(m)</t>
  </si>
  <si>
    <t>FZ(m)</t>
  </si>
  <si>
    <t>DW</t>
  </si>
  <si>
    <t>SL-1</t>
  </si>
  <si>
    <t>SL-2</t>
  </si>
  <si>
    <t>焊缝</t>
    <phoneticPr fontId="3" type="noConversion"/>
  </si>
  <si>
    <t xml:space="preserve">    FX    </t>
  </si>
  <si>
    <t xml:space="preserve">   FY     </t>
  </si>
  <si>
    <t xml:space="preserve">    FZ    </t>
  </si>
  <si>
    <t xml:space="preserve">    MX    </t>
  </si>
  <si>
    <t xml:space="preserve">    MY    </t>
  </si>
  <si>
    <t xml:space="preserve">    MZ</t>
  </si>
  <si>
    <t>a</t>
    <phoneticPr fontId="3" type="noConversion"/>
  </si>
  <si>
    <t>自重</t>
    <phoneticPr fontId="3" type="noConversion"/>
  </si>
  <si>
    <t>b</t>
    <phoneticPr fontId="3" type="noConversion"/>
  </si>
  <si>
    <t>h</t>
    <phoneticPr fontId="3" type="noConversion"/>
  </si>
  <si>
    <t>A</t>
    <phoneticPr fontId="3" type="noConversion"/>
  </si>
  <si>
    <t>IYY</t>
    <phoneticPr fontId="3" type="noConversion"/>
  </si>
  <si>
    <t>IZZ</t>
    <phoneticPr fontId="3" type="noConversion"/>
  </si>
  <si>
    <t>Ymax</t>
    <phoneticPr fontId="3" type="noConversion"/>
  </si>
  <si>
    <t>Zmax</t>
    <phoneticPr fontId="3" type="noConversion"/>
  </si>
  <si>
    <t>Ip</t>
    <phoneticPr fontId="3" type="noConversion"/>
  </si>
  <si>
    <t>剪切系数yy</t>
    <phoneticPr fontId="3" type="noConversion"/>
  </si>
  <si>
    <t>剪切系数zz</t>
    <phoneticPr fontId="3" type="noConversion"/>
  </si>
  <si>
    <t>拉力Fx</t>
    <phoneticPr fontId="3" type="noConversion"/>
  </si>
  <si>
    <t>剪力Fy</t>
    <phoneticPr fontId="3" type="noConversion"/>
  </si>
  <si>
    <t>剪力Fz</t>
    <phoneticPr fontId="3" type="noConversion"/>
  </si>
  <si>
    <t>x向拉力My</t>
    <phoneticPr fontId="3" type="noConversion"/>
  </si>
  <si>
    <t>x向拉力Mz</t>
    <phoneticPr fontId="3" type="noConversion"/>
  </si>
  <si>
    <t>y向剪切</t>
    <phoneticPr fontId="3" type="noConversion"/>
  </si>
  <si>
    <t>z向剪切</t>
    <phoneticPr fontId="3" type="noConversion"/>
  </si>
  <si>
    <t>剪切</t>
    <phoneticPr fontId="3" type="noConversion"/>
  </si>
  <si>
    <t>0.6S</t>
    <phoneticPr fontId="3" type="noConversion"/>
  </si>
  <si>
    <t>薄膜</t>
    <phoneticPr fontId="3" type="noConversion"/>
  </si>
  <si>
    <t>等效应力</t>
    <phoneticPr fontId="3" type="noConversion"/>
  </si>
  <si>
    <t>剪切</t>
  </si>
  <si>
    <t>0.6S</t>
  </si>
  <si>
    <t>等效应力</t>
  </si>
  <si>
    <t>S</t>
  </si>
  <si>
    <t>异常</t>
  </si>
  <si>
    <t>许用值</t>
    <phoneticPr fontId="3" type="noConversion"/>
  </si>
  <si>
    <t>剪力(KN)</t>
    <phoneticPr fontId="3" type="noConversion"/>
  </si>
  <si>
    <t>拉力(KN)</t>
    <phoneticPr fontId="3" type="noConversion"/>
  </si>
  <si>
    <t>R</t>
    <phoneticPr fontId="3" type="noConversion"/>
  </si>
  <si>
    <t>160*8</t>
    <phoneticPr fontId="1" type="noConversion"/>
  </si>
  <si>
    <t>160*12</t>
    <phoneticPr fontId="1" type="noConversion"/>
  </si>
  <si>
    <t>Q355</t>
    <phoneticPr fontId="1" type="noConversion"/>
  </si>
  <si>
    <t>Q235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</si>
</sst>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_ "/>
    <numFmt numFmtId="177" formatCode="0.00_ "/>
    <numFmt numFmtId="178" formatCode="0.00_);[Red]\(0.00\)"/>
    <numFmt numFmtId="179" formatCode="0.000_ "/>
    <numFmt numFmtId="180" formatCode="0_ "/>
    <numFmt numFmtId="181" formatCode="0.000_);\(0.000\)"/>
  </numFmts>
  <fonts count="1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  <scheme val="minor"/>
    </font>
    <font>
      <sz val="12"/>
      <name val="Times New Roman"/>
      <family val="1"/>
    </font>
    <font>
      <sz val="12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8"/>
      <color rgb="FF000000"/>
      <name val="Times New Roman"/>
      <family val="1"/>
    </font>
    <font>
      <sz val="12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113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176" fontId="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0" fontId="0" fillId="3" borderId="0" xfId="0" applyFill="1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0" fillId="0" borderId="1" xfId="0" applyBorder="1">
      <alignment vertical="center"/>
    </xf>
    <xf numFmtId="11" fontId="9" fillId="0" borderId="6" xfId="0" applyNumberFormat="1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1" fontId="9" fillId="0" borderId="7" xfId="0" applyNumberFormat="1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11" fontId="8" fillId="0" borderId="10" xfId="0" applyNumberFormat="1" applyFont="1" applyBorder="1" applyAlignment="1">
      <alignment vertical="center" wrapText="1"/>
    </xf>
    <xf numFmtId="11" fontId="8" fillId="0" borderId="11" xfId="0" applyNumberFormat="1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0" fillId="0" borderId="5" xfId="0" applyFill="1" applyBorder="1">
      <alignment vertical="center"/>
    </xf>
    <xf numFmtId="178" fontId="2" fillId="4" borderId="1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11" fontId="9" fillId="2" borderId="7" xfId="0" applyNumberFormat="1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9" fillId="2" borderId="7" xfId="0" applyNumberFormat="1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9" fillId="5" borderId="7" xfId="0" applyNumberFormat="1" applyFont="1" applyFill="1" applyBorder="1" applyAlignment="1">
      <alignment vertical="center" wrapText="1"/>
    </xf>
    <xf numFmtId="11" fontId="9" fillId="5" borderId="7" xfId="0" applyNumberFormat="1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9" fillId="4" borderId="7" xfId="0" applyNumberFormat="1" applyFont="1" applyFill="1" applyBorder="1" applyAlignment="1">
      <alignment vertical="center" wrapText="1"/>
    </xf>
    <xf numFmtId="11" fontId="9" fillId="4" borderId="7" xfId="0" applyNumberFormat="1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11" fillId="2" borderId="7" xfId="0" applyFont="1" applyFill="1" applyBorder="1" applyAlignment="1">
      <alignment vertical="center" wrapText="1"/>
    </xf>
    <xf numFmtId="0" fontId="11" fillId="2" borderId="7" xfId="0" applyNumberFormat="1" applyFont="1" applyFill="1" applyBorder="1" applyAlignment="1">
      <alignment vertical="center" wrapText="1"/>
    </xf>
    <xf numFmtId="11" fontId="12" fillId="2" borderId="7" xfId="0" applyNumberFormat="1" applyFont="1" applyFill="1" applyBorder="1" applyAlignment="1">
      <alignment vertical="center" wrapText="1"/>
    </xf>
    <xf numFmtId="11" fontId="11" fillId="2" borderId="7" xfId="0" applyNumberFormat="1" applyFont="1" applyFill="1" applyBorder="1" applyAlignment="1">
      <alignment vertical="center" wrapText="1"/>
    </xf>
    <xf numFmtId="0" fontId="12" fillId="2" borderId="7" xfId="0" applyFont="1" applyFill="1" applyBorder="1" applyAlignment="1">
      <alignment vertical="center" wrapText="1"/>
    </xf>
    <xf numFmtId="0" fontId="13" fillId="2" borderId="0" xfId="0" applyFont="1" applyFill="1">
      <alignment vertical="center"/>
    </xf>
    <xf numFmtId="0" fontId="11" fillId="4" borderId="7" xfId="0" applyFont="1" applyFill="1" applyBorder="1" applyAlignment="1">
      <alignment vertical="center" wrapText="1"/>
    </xf>
    <xf numFmtId="0" fontId="11" fillId="4" borderId="7" xfId="0" applyNumberFormat="1" applyFont="1" applyFill="1" applyBorder="1" applyAlignment="1">
      <alignment vertical="center" wrapText="1"/>
    </xf>
    <xf numFmtId="11" fontId="12" fillId="4" borderId="7" xfId="0" applyNumberFormat="1" applyFont="1" applyFill="1" applyBorder="1" applyAlignment="1">
      <alignment vertical="center" wrapText="1"/>
    </xf>
    <xf numFmtId="11" fontId="11" fillId="4" borderId="7" xfId="0" applyNumberFormat="1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0" fontId="13" fillId="4" borderId="0" xfId="0" applyFont="1" applyFill="1">
      <alignment vertical="center"/>
    </xf>
    <xf numFmtId="0" fontId="11" fillId="5" borderId="7" xfId="0" applyFont="1" applyFill="1" applyBorder="1" applyAlignment="1">
      <alignment vertical="center" wrapText="1"/>
    </xf>
    <xf numFmtId="0" fontId="11" fillId="5" borderId="7" xfId="0" applyNumberFormat="1" applyFont="1" applyFill="1" applyBorder="1" applyAlignment="1">
      <alignment vertical="center" wrapText="1"/>
    </xf>
    <xf numFmtId="11" fontId="12" fillId="5" borderId="7" xfId="0" applyNumberFormat="1" applyFont="1" applyFill="1" applyBorder="1" applyAlignment="1">
      <alignment vertical="center" wrapText="1"/>
    </xf>
    <xf numFmtId="11" fontId="11" fillId="5" borderId="7" xfId="0" applyNumberFormat="1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13" fillId="5" borderId="0" xfId="0" applyFont="1" applyFill="1">
      <alignment vertical="center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11" fontId="0" fillId="2" borderId="7" xfId="0" applyNumberFormat="1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7" xfId="0" applyFont="1" applyBorder="1">
      <alignment vertical="center"/>
    </xf>
    <xf numFmtId="0" fontId="0" fillId="0" borderId="7" xfId="0" applyBorder="1">
      <alignment vertical="center"/>
    </xf>
    <xf numFmtId="177" fontId="0" fillId="2" borderId="7" xfId="0" applyNumberFormat="1" applyFill="1" applyBorder="1">
      <alignment vertical="center"/>
    </xf>
    <xf numFmtId="177" fontId="0" fillId="4" borderId="7" xfId="0" applyNumberFormat="1" applyFill="1" applyBorder="1">
      <alignment vertical="center"/>
    </xf>
    <xf numFmtId="177" fontId="0" fillId="6" borderId="7" xfId="0" applyNumberFormat="1" applyFill="1" applyBorder="1">
      <alignment vertical="center"/>
    </xf>
    <xf numFmtId="177" fontId="0" fillId="0" borderId="7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7" fontId="0" fillId="7" borderId="7" xfId="0" applyNumberFormat="1" applyFill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4" xfId="0" applyFill="1" applyBorder="1">
      <alignment vertical="center"/>
    </xf>
    <xf numFmtId="0" fontId="0" fillId="0" borderId="0" xfId="0" applyFill="1">
      <alignment vertical="center"/>
    </xf>
    <xf numFmtId="11" fontId="0" fillId="2" borderId="0" xfId="0" applyNumberFormat="1" applyFill="1">
      <alignment vertical="center"/>
    </xf>
    <xf numFmtId="0" fontId="17" fillId="0" borderId="0" xfId="1">
      <alignment vertical="center"/>
    </xf>
    <xf numFmtId="180" fontId="17" fillId="0" borderId="0" xfId="1" applyNumberFormat="1">
      <alignment vertical="center"/>
    </xf>
    <xf numFmtId="0" fontId="17" fillId="0" borderId="7" xfId="1" applyBorder="1">
      <alignment vertical="center"/>
    </xf>
    <xf numFmtId="180" fontId="17" fillId="0" borderId="7" xfId="1" applyNumberFormat="1" applyBorder="1">
      <alignment vertical="center"/>
    </xf>
    <xf numFmtId="176" fontId="17" fillId="0" borderId="7" xfId="1" applyNumberFormat="1" applyBorder="1" applyAlignment="1"/>
    <xf numFmtId="177" fontId="2" fillId="0" borderId="0" xfId="1" applyNumberFormat="1" applyFont="1" applyAlignment="1">
      <alignment horizontal="center" vertical="center"/>
    </xf>
    <xf numFmtId="11" fontId="17" fillId="0" borderId="7" xfId="1" applyNumberFormat="1" applyBorder="1">
      <alignment vertical="center"/>
    </xf>
    <xf numFmtId="177" fontId="17" fillId="0" borderId="7" xfId="1" applyNumberFormat="1" applyBorder="1">
      <alignment vertical="center"/>
    </xf>
    <xf numFmtId="180" fontId="17" fillId="4" borderId="7" xfId="1" applyNumberFormat="1" applyFill="1" applyBorder="1">
      <alignment vertical="center"/>
    </xf>
    <xf numFmtId="0" fontId="17" fillId="4" borderId="7" xfId="1" applyFill="1" applyBorder="1">
      <alignment vertical="center"/>
    </xf>
    <xf numFmtId="178" fontId="17" fillId="0" borderId="0" xfId="1" applyNumberFormat="1">
      <alignment vertical="center"/>
    </xf>
    <xf numFmtId="178" fontId="17" fillId="4" borderId="7" xfId="1" applyNumberFormat="1" applyFill="1" applyBorder="1">
      <alignment vertical="center"/>
    </xf>
    <xf numFmtId="177" fontId="2" fillId="4" borderId="7" xfId="1" applyNumberFormat="1" applyFont="1" applyFill="1" applyBorder="1" applyAlignment="1">
      <alignment horizontal="center" vertical="center"/>
    </xf>
    <xf numFmtId="178" fontId="2" fillId="4" borderId="7" xfId="1" applyNumberFormat="1" applyFont="1" applyFill="1" applyBorder="1" applyAlignment="1">
      <alignment horizontal="center" vertical="center"/>
    </xf>
    <xf numFmtId="181" fontId="17" fillId="0" borderId="0" xfId="1" applyNumberFormat="1">
      <alignment vertical="center"/>
    </xf>
    <xf numFmtId="177" fontId="17" fillId="0" borderId="0" xfId="1" applyNumberFormat="1">
      <alignment vertical="center"/>
    </xf>
    <xf numFmtId="0" fontId="17" fillId="2" borderId="0" xfId="1" applyFill="1">
      <alignment vertical="center"/>
    </xf>
    <xf numFmtId="11" fontId="17" fillId="0" borderId="0" xfId="1" applyNumberForma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8" fillId="0" borderId="1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4</xdr:row>
      <xdr:rowOff>142875</xdr:rowOff>
    </xdr:from>
    <xdr:to>
      <xdr:col>10</xdr:col>
      <xdr:colOff>876300</xdr:colOff>
      <xdr:row>21</xdr:row>
      <xdr:rowOff>133350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828675"/>
          <a:ext cx="3248025" cy="290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1000125</xdr:colOff>
      <xdr:row>0</xdr:row>
      <xdr:rowOff>85725</xdr:rowOff>
    </xdr:from>
    <xdr:to>
      <xdr:col>6</xdr:col>
      <xdr:colOff>666750</xdr:colOff>
      <xdr:row>26</xdr:row>
      <xdr:rowOff>76200</xdr:rowOff>
    </xdr:to>
    <xdr:pic>
      <xdr:nvPicPr>
        <xdr:cNvPr id="3" name="图片 5" descr="S1-HF-MA.bmp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85725"/>
          <a:ext cx="5829300" cy="444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D24" sqref="D24"/>
    </sheetView>
  </sheetViews>
  <sheetFormatPr defaultRowHeight="13.5" x14ac:dyDescent="0.15"/>
  <cols>
    <col min="1" max="1" width="42.375" customWidth="1"/>
    <col min="2" max="2" width="13.625" customWidth="1"/>
    <col min="3" max="3" width="11.75" customWidth="1"/>
    <col min="5" max="6" width="9.5" bestFit="1" customWidth="1"/>
    <col min="9" max="9" width="11.125" bestFit="1" customWidth="1"/>
    <col min="11" max="11" width="12.25" bestFit="1" customWidth="1"/>
  </cols>
  <sheetData>
    <row r="1" spans="1:20" ht="27" x14ac:dyDescent="0.15">
      <c r="B1" s="67" t="s">
        <v>74</v>
      </c>
      <c r="C1" s="67" t="s">
        <v>75</v>
      </c>
      <c r="D1" s="68" t="s">
        <v>76</v>
      </c>
      <c r="E1" s="68" t="s">
        <v>77</v>
      </c>
      <c r="F1" s="68" t="s">
        <v>78</v>
      </c>
      <c r="G1" s="67" t="s">
        <v>79</v>
      </c>
      <c r="H1" s="68" t="s">
        <v>80</v>
      </c>
      <c r="I1" s="67" t="s">
        <v>81</v>
      </c>
      <c r="J1" s="67" t="s">
        <v>82</v>
      </c>
      <c r="K1" s="67" t="s">
        <v>83</v>
      </c>
    </row>
    <row r="2" spans="1:20" x14ac:dyDescent="0.15">
      <c r="B2" s="67" t="s">
        <v>125</v>
      </c>
      <c r="C2" s="67" t="s">
        <v>174</v>
      </c>
      <c r="D2" s="69">
        <v>370</v>
      </c>
      <c r="E2" s="69">
        <v>235</v>
      </c>
      <c r="F2" s="70">
        <v>204000</v>
      </c>
      <c r="G2" s="71">
        <f>MIN(0.45*E2,0.37*D2)</f>
        <v>105.75</v>
      </c>
      <c r="H2" s="71">
        <f>IF(B9&lt;B10,B19,B24)</f>
        <v>105.49314348717168</v>
      </c>
      <c r="I2" s="71">
        <f>MIN(0.66*E2,0.55*D2)</f>
        <v>155.1</v>
      </c>
      <c r="J2" s="71">
        <f>MIN(0.4*E2,0.33*D2)</f>
        <v>94</v>
      </c>
      <c r="K2" s="71">
        <f>SQRT(2*3.14*3.14*F2/E2)</f>
        <v>130.83556026473551</v>
      </c>
    </row>
    <row r="3" spans="1:20" x14ac:dyDescent="0.15">
      <c r="B3" s="72"/>
      <c r="C3" s="67"/>
      <c r="D3" s="67"/>
      <c r="E3" s="67" t="s">
        <v>84</v>
      </c>
      <c r="F3" s="67">
        <f>IF(D2&gt;=1.2*E2,MIN(1.66,1.167*D2/E2),1.4)</f>
        <v>1.66</v>
      </c>
      <c r="G3" s="71">
        <f>G2*F3</f>
        <v>175.54499999999999</v>
      </c>
      <c r="H3" s="71">
        <f>H2*F3</f>
        <v>175.11861818870497</v>
      </c>
      <c r="I3" s="71">
        <f>I2*F3</f>
        <v>257.46599999999995</v>
      </c>
      <c r="J3" s="71">
        <f>J2*F3</f>
        <v>156.04</v>
      </c>
      <c r="K3" s="67"/>
    </row>
    <row r="4" spans="1:20" x14ac:dyDescent="0.15">
      <c r="A4" s="73" t="s">
        <v>85</v>
      </c>
      <c r="B4" s="74"/>
    </row>
    <row r="5" spans="1:20" x14ac:dyDescent="0.15">
      <c r="A5" s="73" t="s">
        <v>86</v>
      </c>
      <c r="B5" s="74"/>
    </row>
    <row r="6" spans="1:20" x14ac:dyDescent="0.15">
      <c r="A6" s="74" t="s">
        <v>87</v>
      </c>
      <c r="B6" s="75">
        <v>2</v>
      </c>
    </row>
    <row r="7" spans="1:20" x14ac:dyDescent="0.15">
      <c r="A7" s="74" t="s">
        <v>88</v>
      </c>
      <c r="B7" s="75">
        <v>1.7</v>
      </c>
      <c r="D7" t="s">
        <v>89</v>
      </c>
      <c r="E7" t="s">
        <v>90</v>
      </c>
    </row>
    <row r="8" spans="1:20" ht="15.75" x14ac:dyDescent="0.15">
      <c r="A8" s="74" t="s">
        <v>91</v>
      </c>
      <c r="B8" s="76">
        <f>SQRT(E8/D8)*100</f>
        <v>4.5150944398236534</v>
      </c>
      <c r="D8" s="48">
        <v>3.4190000000000002E-3</v>
      </c>
      <c r="E8" s="49">
        <v>6.9700000000000002E-6</v>
      </c>
    </row>
    <row r="9" spans="1:20" x14ac:dyDescent="0.15">
      <c r="A9" s="74" t="s">
        <v>92</v>
      </c>
      <c r="B9" s="77">
        <f>B6*B7*100/B8</f>
        <v>75.302965315888144</v>
      </c>
    </row>
    <row r="10" spans="1:20" x14ac:dyDescent="0.15">
      <c r="A10" s="74" t="s">
        <v>83</v>
      </c>
      <c r="B10" s="76">
        <f>K2</f>
        <v>130.83556026473551</v>
      </c>
    </row>
    <row r="11" spans="1:20" x14ac:dyDescent="0.15">
      <c r="A11" s="74" t="s">
        <v>93</v>
      </c>
      <c r="B11" s="76">
        <f>E2</f>
        <v>235</v>
      </c>
      <c r="G11" s="46"/>
      <c r="O11" s="46"/>
    </row>
    <row r="12" spans="1:20" x14ac:dyDescent="0.15">
      <c r="A12" s="74" t="s">
        <v>94</v>
      </c>
      <c r="B12" s="78">
        <f>B9*B9</f>
        <v>5670.5365853658532</v>
      </c>
      <c r="G12" s="85"/>
      <c r="H12" s="74" t="s">
        <v>95</v>
      </c>
      <c r="I12" s="74" t="s">
        <v>96</v>
      </c>
      <c r="J12" s="74" t="s">
        <v>97</v>
      </c>
      <c r="K12" s="74" t="s">
        <v>98</v>
      </c>
      <c r="L12" s="74" t="s">
        <v>99</v>
      </c>
      <c r="O12" s="85"/>
      <c r="P12" s="74" t="s">
        <v>95</v>
      </c>
      <c r="Q12" s="74" t="s">
        <v>96</v>
      </c>
      <c r="R12" s="74" t="s">
        <v>97</v>
      </c>
      <c r="S12" s="74" t="s">
        <v>98</v>
      </c>
      <c r="T12" s="74" t="s">
        <v>99</v>
      </c>
    </row>
    <row r="13" spans="1:20" x14ac:dyDescent="0.15">
      <c r="A13" s="74" t="s">
        <v>100</v>
      </c>
      <c r="B13" s="78">
        <f>B10*B10</f>
        <v>17117.943829787237</v>
      </c>
      <c r="H13" s="74" t="s">
        <v>101</v>
      </c>
      <c r="I13" s="74">
        <v>3525668</v>
      </c>
      <c r="J13" s="74">
        <v>1925.2</v>
      </c>
      <c r="K13" s="74">
        <v>2.7</v>
      </c>
      <c r="L13" s="74">
        <v>0.2</v>
      </c>
      <c r="P13" s="74" t="s">
        <v>101</v>
      </c>
      <c r="Q13">
        <v>40349.800000000003</v>
      </c>
      <c r="R13">
        <v>-80699.7</v>
      </c>
      <c r="S13" s="2">
        <v>32704519.699999999</v>
      </c>
      <c r="T13">
        <v>3031973</v>
      </c>
    </row>
    <row r="14" spans="1:20" x14ac:dyDescent="0.15">
      <c r="A14" s="74" t="s">
        <v>102</v>
      </c>
      <c r="B14" s="78">
        <f>B9*B9*B9</f>
        <v>427008.21981027961</v>
      </c>
      <c r="H14" s="74" t="s">
        <v>103</v>
      </c>
      <c r="I14" s="74">
        <v>9099749</v>
      </c>
      <c r="J14" s="74">
        <v>-2048413</v>
      </c>
      <c r="K14" s="74">
        <v>93114740</v>
      </c>
      <c r="L14" s="74">
        <v>4148381.4</v>
      </c>
      <c r="P14" s="74" t="s">
        <v>103</v>
      </c>
      <c r="Q14">
        <v>736951.2</v>
      </c>
      <c r="R14">
        <v>-792178.6</v>
      </c>
      <c r="S14">
        <v>69845921</v>
      </c>
      <c r="T14" s="2">
        <v>5449797</v>
      </c>
    </row>
    <row r="15" spans="1:20" x14ac:dyDescent="0.15">
      <c r="A15" s="74" t="s">
        <v>104</v>
      </c>
      <c r="B15" s="78">
        <f>B10*B10*B10</f>
        <v>2239635.7715504854</v>
      </c>
      <c r="H15" s="74" t="s">
        <v>105</v>
      </c>
      <c r="I15" s="74">
        <v>8036760</v>
      </c>
      <c r="J15" s="74">
        <v>-985424</v>
      </c>
      <c r="K15" s="74">
        <v>206284952</v>
      </c>
      <c r="L15" s="74">
        <v>9190259.8000000007</v>
      </c>
      <c r="P15" s="74" t="s">
        <v>105</v>
      </c>
      <c r="Q15">
        <v>2713074.8</v>
      </c>
      <c r="R15">
        <v>-2780613</v>
      </c>
      <c r="S15" s="2">
        <v>118999776</v>
      </c>
      <c r="T15" s="2">
        <v>9749472</v>
      </c>
    </row>
    <row r="16" spans="1:20" x14ac:dyDescent="0.15">
      <c r="A16" s="74" t="s">
        <v>106</v>
      </c>
      <c r="B16" s="78">
        <f>1-0.5*B12/B13</f>
        <v>0.83436864141654521</v>
      </c>
    </row>
    <row r="17" spans="1:20" x14ac:dyDescent="0.15">
      <c r="A17" s="74" t="s">
        <v>107</v>
      </c>
      <c r="B17" s="78">
        <f>B16*B11</f>
        <v>196.07663073288813</v>
      </c>
    </row>
    <row r="18" spans="1:20" ht="14.25" thickBot="1" x14ac:dyDescent="0.2">
      <c r="A18" s="74" t="s">
        <v>108</v>
      </c>
      <c r="B18" s="78">
        <f>5/3+0.375*B9/B10-0.125*B14/B15</f>
        <v>1.8586670588381102</v>
      </c>
    </row>
    <row r="19" spans="1:20" ht="30.75" thickBot="1" x14ac:dyDescent="0.2">
      <c r="A19" s="74" t="s">
        <v>109</v>
      </c>
      <c r="B19" s="77">
        <f>B17/B18</f>
        <v>105.49314348717168</v>
      </c>
      <c r="G19" s="79" t="s">
        <v>110</v>
      </c>
      <c r="H19" s="80" t="s">
        <v>111</v>
      </c>
      <c r="I19" s="80" t="s">
        <v>112</v>
      </c>
      <c r="J19" s="80" t="s">
        <v>113</v>
      </c>
      <c r="K19" s="80" t="s">
        <v>114</v>
      </c>
      <c r="O19" s="79" t="s">
        <v>110</v>
      </c>
      <c r="P19" s="80" t="s">
        <v>111</v>
      </c>
      <c r="Q19" s="80" t="s">
        <v>112</v>
      </c>
      <c r="R19" s="80" t="s">
        <v>122</v>
      </c>
      <c r="S19" s="80" t="s">
        <v>113</v>
      </c>
      <c r="T19" s="80" t="s">
        <v>114</v>
      </c>
    </row>
    <row r="20" spans="1:20" ht="16.5" thickBot="1" x14ac:dyDescent="0.2">
      <c r="A20" s="74"/>
      <c r="B20" s="81"/>
      <c r="G20" s="106" t="s">
        <v>115</v>
      </c>
      <c r="H20" s="82" t="s">
        <v>41</v>
      </c>
      <c r="I20" s="83">
        <f>I14/1000000</f>
        <v>9.0997489999999992</v>
      </c>
      <c r="J20" s="83">
        <f>G2</f>
        <v>105.75</v>
      </c>
      <c r="K20" s="83">
        <f>I20/J20</f>
        <v>8.6049635933806143E-2</v>
      </c>
      <c r="O20" s="106" t="s">
        <v>115</v>
      </c>
      <c r="P20" s="82" t="s">
        <v>41</v>
      </c>
      <c r="Q20" s="83">
        <f>Q14/1000000</f>
        <v>0.73695119999999992</v>
      </c>
      <c r="R20" s="83">
        <f>Q20/0.526</f>
        <v>1.401047908745247</v>
      </c>
      <c r="S20" s="83">
        <f>G2</f>
        <v>105.75</v>
      </c>
      <c r="T20" s="83">
        <f>R20/S20</f>
        <v>1.3248679988134723E-2</v>
      </c>
    </row>
    <row r="21" spans="1:20" ht="16.5" thickBot="1" x14ac:dyDescent="0.2">
      <c r="A21" s="73" t="s">
        <v>116</v>
      </c>
      <c r="B21" s="78"/>
      <c r="G21" s="107"/>
      <c r="H21" s="82" t="s">
        <v>117</v>
      </c>
      <c r="I21" s="83">
        <f>ABS(J14)/1000000</f>
        <v>2.048413</v>
      </c>
      <c r="J21" s="83">
        <f>MIN(H2,S21)</f>
        <v>105.49314348717168</v>
      </c>
      <c r="K21" s="83">
        <f t="shared" ref="K21:K31" si="0">I21/J21</f>
        <v>1.9417498922563569E-2</v>
      </c>
      <c r="O21" s="107"/>
      <c r="P21" s="82" t="s">
        <v>117</v>
      </c>
      <c r="Q21" s="83">
        <f>ABS(R14)/1000000</f>
        <v>0.79217859999999996</v>
      </c>
      <c r="R21" s="83">
        <f t="shared" ref="R21:R23" si="1">Q21/0.526</f>
        <v>1.5060429657794676</v>
      </c>
      <c r="S21" s="83">
        <f>许用应力!K2</f>
        <v>158.52711297015449</v>
      </c>
      <c r="T21" s="83">
        <f t="shared" ref="T21:T23" si="2">R21/S21</f>
        <v>9.5002232587368604E-3</v>
      </c>
    </row>
    <row r="22" spans="1:20" ht="16.5" thickBot="1" x14ac:dyDescent="0.2">
      <c r="A22" s="74" t="s">
        <v>78</v>
      </c>
      <c r="B22" s="78">
        <v>200000</v>
      </c>
      <c r="G22" s="107"/>
      <c r="H22" s="82" t="s">
        <v>42</v>
      </c>
      <c r="I22" s="83">
        <f>K14/1000000</f>
        <v>93.114739999999998</v>
      </c>
      <c r="J22" s="83">
        <f>I2</f>
        <v>155.1</v>
      </c>
      <c r="K22" s="83">
        <f t="shared" si="0"/>
        <v>0.60035293359123143</v>
      </c>
      <c r="O22" s="107"/>
      <c r="P22" s="82" t="s">
        <v>42</v>
      </c>
      <c r="Q22" s="83">
        <f>S14/1000000</f>
        <v>69.845921000000004</v>
      </c>
      <c r="R22" s="83">
        <f t="shared" si="1"/>
        <v>132.78692205323193</v>
      </c>
      <c r="S22" s="83">
        <f>I2</f>
        <v>155.1</v>
      </c>
      <c r="T22" s="83">
        <f t="shared" si="2"/>
        <v>0.85613747294153408</v>
      </c>
    </row>
    <row r="23" spans="1:20" ht="16.5" thickBot="1" x14ac:dyDescent="0.2">
      <c r="A23" s="74" t="s">
        <v>118</v>
      </c>
      <c r="B23" s="78">
        <f>12*3.14*3.14*B22</f>
        <v>23663040</v>
      </c>
      <c r="G23" s="107"/>
      <c r="H23" s="82" t="s">
        <v>43</v>
      </c>
      <c r="I23" s="83">
        <f>L14/1000000</f>
        <v>4.1483813999999999</v>
      </c>
      <c r="J23" s="83">
        <f>J2</f>
        <v>94</v>
      </c>
      <c r="K23" s="83">
        <f t="shared" si="0"/>
        <v>4.4131717021276592E-2</v>
      </c>
      <c r="O23" s="107"/>
      <c r="P23" s="82" t="s">
        <v>43</v>
      </c>
      <c r="Q23" s="83">
        <f>T14/1000000</f>
        <v>5.4497970000000002</v>
      </c>
      <c r="R23" s="83">
        <f t="shared" si="1"/>
        <v>10.360830798479087</v>
      </c>
      <c r="S23" s="83">
        <f>J2</f>
        <v>94</v>
      </c>
      <c r="T23" s="83">
        <f t="shared" si="2"/>
        <v>0.11022160423913922</v>
      </c>
    </row>
    <row r="24" spans="1:20" ht="16.5" thickBot="1" x14ac:dyDescent="0.2">
      <c r="A24" s="74" t="s">
        <v>119</v>
      </c>
      <c r="B24" s="77">
        <f>B23/23/B12</f>
        <v>181.43394555324579</v>
      </c>
      <c r="G24" s="107"/>
      <c r="H24" s="82" t="s">
        <v>44</v>
      </c>
      <c r="I24" s="83">
        <f>K20+K22</f>
        <v>0.68640256952503753</v>
      </c>
      <c r="J24" s="84">
        <v>1</v>
      </c>
      <c r="K24" s="83">
        <f t="shared" si="0"/>
        <v>0.68640256952503753</v>
      </c>
      <c r="O24" s="107"/>
      <c r="P24" s="82" t="s">
        <v>44</v>
      </c>
      <c r="Q24" s="83">
        <f>T20+T22</f>
        <v>0.86938615292966881</v>
      </c>
      <c r="R24" s="83" t="s">
        <v>123</v>
      </c>
      <c r="S24" s="84">
        <v>1</v>
      </c>
      <c r="T24" s="83">
        <f>Q24/S24</f>
        <v>0.86938615292966881</v>
      </c>
    </row>
    <row r="25" spans="1:20" ht="16.5" thickBot="1" x14ac:dyDescent="0.2">
      <c r="G25" s="108"/>
      <c r="H25" s="82" t="s">
        <v>120</v>
      </c>
      <c r="I25" s="83">
        <f>K21+K22</f>
        <v>0.61977043251379504</v>
      </c>
      <c r="J25" s="84">
        <v>1</v>
      </c>
      <c r="K25" s="83">
        <f t="shared" si="0"/>
        <v>0.61977043251379504</v>
      </c>
      <c r="O25" s="108"/>
      <c r="P25" s="82" t="s">
        <v>120</v>
      </c>
      <c r="Q25" s="83">
        <f>T21+T22</f>
        <v>0.86563769620027098</v>
      </c>
      <c r="R25" s="83" t="s">
        <v>123</v>
      </c>
      <c r="S25" s="84">
        <v>1</v>
      </c>
      <c r="T25" s="83">
        <f>Q25/S25</f>
        <v>0.86563769620027098</v>
      </c>
    </row>
    <row r="26" spans="1:20" ht="16.5" thickBot="1" x14ac:dyDescent="0.2">
      <c r="G26" s="106" t="s">
        <v>121</v>
      </c>
      <c r="H26" s="82" t="s">
        <v>41</v>
      </c>
      <c r="I26" s="83">
        <f>I15/1000000</f>
        <v>8.0367599999999992</v>
      </c>
      <c r="J26" s="83">
        <f>G3</f>
        <v>175.54499999999999</v>
      </c>
      <c r="K26" s="83">
        <f t="shared" si="0"/>
        <v>4.5781765359309577E-2</v>
      </c>
      <c r="O26" s="106" t="s">
        <v>121</v>
      </c>
      <c r="P26" s="82" t="s">
        <v>41</v>
      </c>
      <c r="Q26" s="83">
        <f>Q15/1000000</f>
        <v>2.7130747999999998</v>
      </c>
      <c r="R26" s="83">
        <f>Q26/0.526</f>
        <v>5.1579368821292766</v>
      </c>
      <c r="S26" s="83">
        <f>G3</f>
        <v>175.54499999999999</v>
      </c>
      <c r="T26" s="83">
        <f>R26/S26</f>
        <v>2.9382419790533919E-2</v>
      </c>
    </row>
    <row r="27" spans="1:20" ht="16.5" thickBot="1" x14ac:dyDescent="0.2">
      <c r="G27" s="107"/>
      <c r="H27" s="82" t="s">
        <v>117</v>
      </c>
      <c r="I27" s="83">
        <f>ABS(J15)/1000000</f>
        <v>0.98542399999999997</v>
      </c>
      <c r="J27" s="83">
        <f>F3*J21</f>
        <v>175.11861818870497</v>
      </c>
      <c r="K27" s="83">
        <f t="shared" si="0"/>
        <v>5.6271800805218954E-3</v>
      </c>
      <c r="O27" s="107"/>
      <c r="P27" s="82" t="s">
        <v>117</v>
      </c>
      <c r="Q27" s="83">
        <f>ABS(R15)/1000000</f>
        <v>2.7806129999999998</v>
      </c>
      <c r="R27" s="83">
        <f t="shared" ref="R27:R29" si="3">Q27/0.526</f>
        <v>5.2863365019011397</v>
      </c>
      <c r="S27" s="83">
        <f>许用应力!K2*1.545</f>
        <v>244.92438953888868</v>
      </c>
      <c r="T27" s="83">
        <f t="shared" ref="T27:T29" si="4">R27/S27</f>
        <v>2.1583544668024104E-2</v>
      </c>
    </row>
    <row r="28" spans="1:20" ht="16.5" thickBot="1" x14ac:dyDescent="0.2">
      <c r="G28" s="107"/>
      <c r="H28" s="82" t="s">
        <v>42</v>
      </c>
      <c r="I28" s="83">
        <f>K15/1000000</f>
        <v>206.284952</v>
      </c>
      <c r="J28" s="83">
        <f>I3</f>
        <v>257.46599999999995</v>
      </c>
      <c r="K28" s="83">
        <f t="shared" si="0"/>
        <v>0.80121240086069634</v>
      </c>
      <c r="O28" s="107"/>
      <c r="P28" s="82" t="s">
        <v>42</v>
      </c>
      <c r="Q28" s="83">
        <f>S15/1000000</f>
        <v>118.999776</v>
      </c>
      <c r="R28" s="83">
        <f t="shared" si="3"/>
        <v>226.2353155893536</v>
      </c>
      <c r="S28" s="83">
        <f>I3</f>
        <v>257.46599999999995</v>
      </c>
      <c r="T28" s="83">
        <f t="shared" si="4"/>
        <v>0.87869977235578156</v>
      </c>
    </row>
    <row r="29" spans="1:20" ht="16.5" thickBot="1" x14ac:dyDescent="0.2">
      <c r="G29" s="107"/>
      <c r="H29" s="82" t="s">
        <v>43</v>
      </c>
      <c r="I29" s="83">
        <f>L15/1000000</f>
        <v>9.1902598000000015</v>
      </c>
      <c r="J29" s="83">
        <f>J3</f>
        <v>156.04</v>
      </c>
      <c r="K29" s="83">
        <f t="shared" si="0"/>
        <v>5.889682004614203E-2</v>
      </c>
      <c r="O29" s="107"/>
      <c r="P29" s="82" t="s">
        <v>43</v>
      </c>
      <c r="Q29" s="83">
        <f>T15/1000000</f>
        <v>9.7494720000000008</v>
      </c>
      <c r="R29" s="83">
        <f t="shared" si="3"/>
        <v>18.535117870722434</v>
      </c>
      <c r="S29" s="83">
        <f>J3</f>
        <v>156.04</v>
      </c>
      <c r="T29" s="83">
        <f t="shared" si="4"/>
        <v>0.11878440060703944</v>
      </c>
    </row>
    <row r="30" spans="1:20" ht="16.5" thickBot="1" x14ac:dyDescent="0.2">
      <c r="G30" s="107"/>
      <c r="H30" s="82" t="s">
        <v>44</v>
      </c>
      <c r="I30" s="83">
        <f>K26+K28</f>
        <v>0.8469941662200059</v>
      </c>
      <c r="J30" s="84">
        <v>1</v>
      </c>
      <c r="K30" s="83">
        <f t="shared" si="0"/>
        <v>0.8469941662200059</v>
      </c>
      <c r="O30" s="107"/>
      <c r="P30" s="82" t="s">
        <v>44</v>
      </c>
      <c r="Q30" s="83">
        <f>T26+T28</f>
        <v>0.90808219214631547</v>
      </c>
      <c r="R30" s="83" t="s">
        <v>123</v>
      </c>
      <c r="S30" s="84">
        <v>1</v>
      </c>
      <c r="T30" s="83">
        <f>Q30/S30</f>
        <v>0.90808219214631547</v>
      </c>
    </row>
    <row r="31" spans="1:20" ht="16.5" thickBot="1" x14ac:dyDescent="0.2">
      <c r="G31" s="108"/>
      <c r="H31" s="82" t="s">
        <v>120</v>
      </c>
      <c r="I31" s="83">
        <f>K27+K28</f>
        <v>0.80683958094121822</v>
      </c>
      <c r="J31" s="84">
        <v>1</v>
      </c>
      <c r="K31" s="83">
        <f t="shared" si="0"/>
        <v>0.80683958094121822</v>
      </c>
      <c r="O31" s="108"/>
      <c r="P31" s="82" t="s">
        <v>120</v>
      </c>
      <c r="Q31" s="83">
        <f>T27+T28</f>
        <v>0.90028331702380571</v>
      </c>
      <c r="R31" s="83" t="s">
        <v>123</v>
      </c>
      <c r="S31" s="84">
        <v>1</v>
      </c>
      <c r="T31" s="83">
        <f>Q31/S31</f>
        <v>0.90028331702380571</v>
      </c>
    </row>
  </sheetData>
  <mergeCells count="4">
    <mergeCell ref="G20:G25"/>
    <mergeCell ref="O20:O25"/>
    <mergeCell ref="G26:G31"/>
    <mergeCell ref="O26:O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selection activeCell="C3" sqref="C3"/>
    </sheetView>
  </sheetViews>
  <sheetFormatPr defaultRowHeight="13.5" x14ac:dyDescent="0.15"/>
  <cols>
    <col min="1" max="1" width="42.375" customWidth="1"/>
    <col min="2" max="2" width="13.625" customWidth="1"/>
    <col min="3" max="3" width="11.75" customWidth="1"/>
    <col min="5" max="6" width="9.5" bestFit="1" customWidth="1"/>
    <col min="9" max="9" width="11.125" bestFit="1" customWidth="1"/>
    <col min="11" max="11" width="12.25" bestFit="1" customWidth="1"/>
  </cols>
  <sheetData>
    <row r="1" spans="1:20" ht="27" x14ac:dyDescent="0.15">
      <c r="B1" s="67" t="s">
        <v>74</v>
      </c>
      <c r="C1" s="67" t="s">
        <v>75</v>
      </c>
      <c r="D1" s="68" t="s">
        <v>76</v>
      </c>
      <c r="E1" s="68" t="s">
        <v>77</v>
      </c>
      <c r="F1" s="68" t="s">
        <v>78</v>
      </c>
      <c r="G1" s="67" t="s">
        <v>79</v>
      </c>
      <c r="H1" s="68" t="s">
        <v>80</v>
      </c>
      <c r="I1" s="67" t="s">
        <v>81</v>
      </c>
      <c r="J1" s="67" t="s">
        <v>82</v>
      </c>
      <c r="K1" s="67" t="s">
        <v>83</v>
      </c>
    </row>
    <row r="2" spans="1:20" x14ac:dyDescent="0.15">
      <c r="B2" s="67" t="s">
        <v>125</v>
      </c>
      <c r="C2" s="67" t="s">
        <v>173</v>
      </c>
      <c r="D2" s="69">
        <v>470</v>
      </c>
      <c r="E2" s="69">
        <v>355</v>
      </c>
      <c r="F2" s="70">
        <v>204000</v>
      </c>
      <c r="G2" s="71">
        <f>MIN(0.45*E2,0.37*D2)</f>
        <v>159.75</v>
      </c>
      <c r="H2" s="71">
        <f>IF(B9&lt;B10,B19,B24)</f>
        <v>169.66376544919299</v>
      </c>
      <c r="I2" s="71">
        <f>MIN(0.66*E2,0.55*D2)</f>
        <v>234.3</v>
      </c>
      <c r="J2" s="71">
        <f>MIN(0.4*E2,0.33*D2)</f>
        <v>142</v>
      </c>
      <c r="K2" s="71">
        <f>SQRT(2*3.14*3.14*F2/E2)</f>
        <v>106.44997238007302</v>
      </c>
    </row>
    <row r="3" spans="1:20" x14ac:dyDescent="0.15">
      <c r="B3" s="72"/>
      <c r="C3" s="67"/>
      <c r="D3" s="67"/>
      <c r="E3" s="67" t="s">
        <v>84</v>
      </c>
      <c r="F3" s="67">
        <f>IF(D2&gt;=1.2*E2,MIN(1.66,1.167*D2/E2),1.4)</f>
        <v>1.5450422535211268</v>
      </c>
      <c r="G3" s="71">
        <f>G2*F3</f>
        <v>246.82050000000001</v>
      </c>
      <c r="H3" s="71">
        <f>H2*F3</f>
        <v>262.13768651050106</v>
      </c>
      <c r="I3" s="71">
        <f>I2*F3</f>
        <v>362.0034</v>
      </c>
      <c r="J3" s="71">
        <f>J2*F3</f>
        <v>219.39600000000002</v>
      </c>
      <c r="K3" s="67"/>
    </row>
    <row r="4" spans="1:20" x14ac:dyDescent="0.15">
      <c r="A4" s="73" t="s">
        <v>85</v>
      </c>
      <c r="B4" s="74"/>
    </row>
    <row r="5" spans="1:20" x14ac:dyDescent="0.15">
      <c r="A5" s="73" t="s">
        <v>86</v>
      </c>
      <c r="B5" s="74"/>
    </row>
    <row r="6" spans="1:20" x14ac:dyDescent="0.15">
      <c r="A6" s="74" t="s">
        <v>87</v>
      </c>
      <c r="B6" s="75">
        <v>2</v>
      </c>
    </row>
    <row r="7" spans="1:20" x14ac:dyDescent="0.15">
      <c r="A7" s="74" t="s">
        <v>88</v>
      </c>
      <c r="B7" s="75">
        <v>1.4</v>
      </c>
      <c r="D7" t="s">
        <v>89</v>
      </c>
      <c r="E7" t="s">
        <v>90</v>
      </c>
    </row>
    <row r="8" spans="1:20" ht="15.75" x14ac:dyDescent="0.15">
      <c r="A8" s="74" t="s">
        <v>91</v>
      </c>
      <c r="B8" s="76">
        <f>SQRT(E8/D8)*100</f>
        <v>5.3227907626388262</v>
      </c>
      <c r="D8" s="54">
        <v>4.0590000000000001E-3</v>
      </c>
      <c r="E8" s="55">
        <v>1.15E-5</v>
      </c>
    </row>
    <row r="9" spans="1:20" x14ac:dyDescent="0.15">
      <c r="A9" s="74" t="s">
        <v>92</v>
      </c>
      <c r="B9" s="77">
        <f>B6*B7*100/B8</f>
        <v>52.603983978732849</v>
      </c>
    </row>
    <row r="10" spans="1:20" x14ac:dyDescent="0.15">
      <c r="A10" s="74" t="s">
        <v>83</v>
      </c>
      <c r="B10" s="76">
        <f>K2</f>
        <v>106.44997238007302</v>
      </c>
    </row>
    <row r="11" spans="1:20" x14ac:dyDescent="0.15">
      <c r="A11" s="74" t="s">
        <v>93</v>
      </c>
      <c r="B11" s="76">
        <f>E2</f>
        <v>355</v>
      </c>
      <c r="G11" s="46"/>
      <c r="O11" s="46"/>
    </row>
    <row r="12" spans="1:20" x14ac:dyDescent="0.15">
      <c r="A12" s="74" t="s">
        <v>94</v>
      </c>
      <c r="B12" s="78">
        <f>B9*B9</f>
        <v>2767.1791304347821</v>
      </c>
      <c r="G12" s="85"/>
      <c r="H12" s="74" t="s">
        <v>95</v>
      </c>
      <c r="I12" s="74" t="s">
        <v>96</v>
      </c>
      <c r="J12" s="74" t="s">
        <v>97</v>
      </c>
      <c r="K12" s="74" t="s">
        <v>98</v>
      </c>
      <c r="L12" s="74" t="s">
        <v>99</v>
      </c>
      <c r="O12" s="85"/>
      <c r="P12" s="74" t="s">
        <v>95</v>
      </c>
      <c r="Q12" s="74" t="s">
        <v>96</v>
      </c>
      <c r="R12" s="74" t="s">
        <v>97</v>
      </c>
      <c r="S12" s="74" t="s">
        <v>98</v>
      </c>
      <c r="T12" s="74" t="s">
        <v>99</v>
      </c>
    </row>
    <row r="13" spans="1:20" x14ac:dyDescent="0.15">
      <c r="A13" s="74" t="s">
        <v>100</v>
      </c>
      <c r="B13" s="78">
        <f>B10*B10</f>
        <v>11331.59661971831</v>
      </c>
      <c r="H13" s="74" t="s">
        <v>101</v>
      </c>
      <c r="I13" s="74">
        <v>2580226</v>
      </c>
      <c r="J13" s="74">
        <v>-7947.5</v>
      </c>
      <c r="K13" s="74">
        <v>36660014.600000001</v>
      </c>
      <c r="L13" s="74">
        <v>5204496.0999999996</v>
      </c>
      <c r="P13" s="74" t="s">
        <v>101</v>
      </c>
      <c r="Q13">
        <v>1064.7</v>
      </c>
      <c r="R13">
        <v>-532.29999999999995</v>
      </c>
      <c r="S13" s="2">
        <v>25526326.199999999</v>
      </c>
      <c r="T13">
        <v>2368730.9</v>
      </c>
    </row>
    <row r="14" spans="1:20" x14ac:dyDescent="0.15">
      <c r="A14" s="74" t="s">
        <v>102</v>
      </c>
      <c r="B14" s="78">
        <f>B9*B9*B9</f>
        <v>145564.64664367517</v>
      </c>
      <c r="H14" s="74" t="s">
        <v>103</v>
      </c>
      <c r="I14" s="74">
        <v>3551707.2</v>
      </c>
      <c r="J14" s="74">
        <v>-690697.7</v>
      </c>
      <c r="K14" s="74">
        <v>62408424.5</v>
      </c>
      <c r="L14" s="74">
        <v>8753492.8000000007</v>
      </c>
      <c r="P14" s="74" t="s">
        <v>103</v>
      </c>
      <c r="Q14">
        <v>435146.6</v>
      </c>
      <c r="R14">
        <v>-434857.5</v>
      </c>
      <c r="S14">
        <v>77246770</v>
      </c>
      <c r="T14" s="2">
        <v>6259495.7999999998</v>
      </c>
    </row>
    <row r="15" spans="1:20" x14ac:dyDescent="0.15">
      <c r="A15" s="74" t="s">
        <v>104</v>
      </c>
      <c r="B15" s="78">
        <f>B10*B10*B10</f>
        <v>1206248.1471911429</v>
      </c>
      <c r="H15" s="74" t="s">
        <v>105</v>
      </c>
      <c r="I15" s="74">
        <v>4327405</v>
      </c>
      <c r="J15" s="74">
        <v>-3591300</v>
      </c>
      <c r="K15" s="74">
        <v>289315056</v>
      </c>
      <c r="L15" s="74">
        <v>25293681.600000001</v>
      </c>
      <c r="P15" s="74" t="s">
        <v>105</v>
      </c>
      <c r="Q15">
        <v>960481.5</v>
      </c>
      <c r="R15">
        <v>-961546.1</v>
      </c>
      <c r="S15" s="2">
        <v>83361386</v>
      </c>
      <c r="T15" s="2">
        <v>6164372.2999999998</v>
      </c>
    </row>
    <row r="16" spans="1:20" x14ac:dyDescent="0.15">
      <c r="A16" s="74" t="s">
        <v>106</v>
      </c>
      <c r="B16" s="78">
        <f>1-0.5*B12/B13</f>
        <v>0.87789985721784491</v>
      </c>
    </row>
    <row r="17" spans="1:20" x14ac:dyDescent="0.15">
      <c r="A17" s="74" t="s">
        <v>107</v>
      </c>
      <c r="B17" s="78">
        <f>B16*B11</f>
        <v>311.65444931233492</v>
      </c>
    </row>
    <row r="18" spans="1:20" ht="14.25" thickBot="1" x14ac:dyDescent="0.2">
      <c r="A18" s="74" t="s">
        <v>108</v>
      </c>
      <c r="B18" s="78">
        <f>5/3+0.375*B9/B10-0.125*B14/B15</f>
        <v>1.8368945690154568</v>
      </c>
    </row>
    <row r="19" spans="1:20" ht="30.75" thickBot="1" x14ac:dyDescent="0.2">
      <c r="A19" s="74" t="s">
        <v>109</v>
      </c>
      <c r="B19" s="77">
        <f>B17/B18</f>
        <v>169.66376544919299</v>
      </c>
      <c r="G19" s="79" t="s">
        <v>110</v>
      </c>
      <c r="H19" s="80" t="s">
        <v>111</v>
      </c>
      <c r="I19" s="80" t="s">
        <v>112</v>
      </c>
      <c r="J19" s="80" t="s">
        <v>113</v>
      </c>
      <c r="K19" s="80" t="s">
        <v>114</v>
      </c>
      <c r="O19" s="79" t="s">
        <v>110</v>
      </c>
      <c r="P19" s="80" t="s">
        <v>111</v>
      </c>
      <c r="Q19" s="80" t="s">
        <v>112</v>
      </c>
      <c r="R19" s="80" t="s">
        <v>122</v>
      </c>
      <c r="S19" s="80" t="s">
        <v>113</v>
      </c>
      <c r="T19" s="80" t="s">
        <v>114</v>
      </c>
    </row>
    <row r="20" spans="1:20" ht="16.5" thickBot="1" x14ac:dyDescent="0.2">
      <c r="A20" s="74"/>
      <c r="B20" s="81"/>
      <c r="G20" s="106" t="s">
        <v>115</v>
      </c>
      <c r="H20" s="82" t="s">
        <v>41</v>
      </c>
      <c r="I20" s="83">
        <f>I14/1000000</f>
        <v>3.5517072000000001</v>
      </c>
      <c r="J20" s="83">
        <f>G2</f>
        <v>159.75</v>
      </c>
      <c r="K20" s="83">
        <f>I20/J20</f>
        <v>2.2232908920187793E-2</v>
      </c>
      <c r="O20" s="106" t="s">
        <v>115</v>
      </c>
      <c r="P20" s="82" t="s">
        <v>41</v>
      </c>
      <c r="Q20" s="83">
        <f>Q14/1000000</f>
        <v>0.43514659999999999</v>
      </c>
      <c r="R20" s="83">
        <f>Q20/0.526</f>
        <v>0.82727490494296574</v>
      </c>
      <c r="S20" s="83">
        <f>G2</f>
        <v>159.75</v>
      </c>
      <c r="T20" s="83">
        <f>R20/S20</f>
        <v>5.1785596553550282E-3</v>
      </c>
    </row>
    <row r="21" spans="1:20" ht="16.5" thickBot="1" x14ac:dyDescent="0.2">
      <c r="A21" s="73" t="s">
        <v>116</v>
      </c>
      <c r="B21" s="78"/>
      <c r="G21" s="107"/>
      <c r="H21" s="82" t="s">
        <v>117</v>
      </c>
      <c r="I21" s="83">
        <f>ABS(J14)/1000000</f>
        <v>0.69069769999999997</v>
      </c>
      <c r="J21" s="83">
        <f>H2</f>
        <v>169.66376544919299</v>
      </c>
      <c r="K21" s="83">
        <f t="shared" ref="K21:K31" si="0">I21/J21</f>
        <v>4.0709794349509136E-3</v>
      </c>
      <c r="O21" s="107"/>
      <c r="P21" s="82" t="s">
        <v>117</v>
      </c>
      <c r="Q21" s="83">
        <f>ABS(R14)/1000000</f>
        <v>0.43485750000000001</v>
      </c>
      <c r="R21" s="83">
        <f t="shared" ref="R21:R23" si="1">Q21/0.526</f>
        <v>0.82672528517110266</v>
      </c>
      <c r="S21" s="83">
        <f>许用应力!K2</f>
        <v>158.52711297015449</v>
      </c>
      <c r="T21" s="83">
        <f t="shared" ref="T21:T23" si="2">R21/S21</f>
        <v>5.2150403150705718E-3</v>
      </c>
    </row>
    <row r="22" spans="1:20" ht="16.5" thickBot="1" x14ac:dyDescent="0.2">
      <c r="A22" s="74" t="s">
        <v>78</v>
      </c>
      <c r="B22" s="78">
        <v>200000</v>
      </c>
      <c r="G22" s="107"/>
      <c r="H22" s="82" t="s">
        <v>42</v>
      </c>
      <c r="I22" s="83">
        <f>K14/1000000</f>
        <v>62.408424500000002</v>
      </c>
      <c r="J22" s="83">
        <f>I2</f>
        <v>234.3</v>
      </c>
      <c r="K22" s="83">
        <f t="shared" si="0"/>
        <v>0.26636118011096882</v>
      </c>
      <c r="O22" s="107"/>
      <c r="P22" s="82" t="s">
        <v>42</v>
      </c>
      <c r="Q22" s="83">
        <f>S14/1000000</f>
        <v>77.246769999999998</v>
      </c>
      <c r="R22" s="83">
        <f t="shared" si="1"/>
        <v>146.85697718631178</v>
      </c>
      <c r="S22" s="83">
        <f>I2</f>
        <v>234.3</v>
      </c>
      <c r="T22" s="83">
        <f t="shared" si="2"/>
        <v>0.62679034223777963</v>
      </c>
    </row>
    <row r="23" spans="1:20" ht="16.5" thickBot="1" x14ac:dyDescent="0.2">
      <c r="A23" s="74" t="s">
        <v>118</v>
      </c>
      <c r="B23" s="78">
        <f>12*3.14*3.14*B22</f>
        <v>23663040</v>
      </c>
      <c r="G23" s="107"/>
      <c r="H23" s="82" t="s">
        <v>43</v>
      </c>
      <c r="I23" s="83">
        <f>L14/1000000</f>
        <v>8.7534928000000001</v>
      </c>
      <c r="J23" s="83">
        <f>J2</f>
        <v>142</v>
      </c>
      <c r="K23" s="83">
        <f t="shared" si="0"/>
        <v>6.1644315492957749E-2</v>
      </c>
      <c r="O23" s="107"/>
      <c r="P23" s="82" t="s">
        <v>43</v>
      </c>
      <c r="Q23" s="83">
        <f>T14/1000000</f>
        <v>6.2594957999999998</v>
      </c>
      <c r="R23" s="83">
        <f t="shared" si="1"/>
        <v>11.900182129277566</v>
      </c>
      <c r="S23" s="83">
        <f>J2</f>
        <v>142</v>
      </c>
      <c r="T23" s="83">
        <f t="shared" si="2"/>
        <v>8.3804099501954693E-2</v>
      </c>
    </row>
    <row r="24" spans="1:20" ht="16.5" thickBot="1" x14ac:dyDescent="0.2">
      <c r="A24" s="74" t="s">
        <v>119</v>
      </c>
      <c r="B24" s="77">
        <f>B23/23/B12</f>
        <v>371.79661221473077</v>
      </c>
      <c r="G24" s="107"/>
      <c r="H24" s="82" t="s">
        <v>44</v>
      </c>
      <c r="I24" s="83">
        <f>K20+K22</f>
        <v>0.28859408903115663</v>
      </c>
      <c r="J24" s="84">
        <v>1</v>
      </c>
      <c r="K24" s="83">
        <f t="shared" si="0"/>
        <v>0.28859408903115663</v>
      </c>
      <c r="O24" s="107"/>
      <c r="P24" s="82" t="s">
        <v>44</v>
      </c>
      <c r="Q24" s="83">
        <f>T20+T22</f>
        <v>0.6319689018931347</v>
      </c>
      <c r="R24" s="83" t="s">
        <v>123</v>
      </c>
      <c r="S24" s="84">
        <v>1</v>
      </c>
      <c r="T24" s="83">
        <f>Q24/S24</f>
        <v>0.6319689018931347</v>
      </c>
    </row>
    <row r="25" spans="1:20" ht="16.5" thickBot="1" x14ac:dyDescent="0.2">
      <c r="G25" s="108"/>
      <c r="H25" s="82" t="s">
        <v>120</v>
      </c>
      <c r="I25" s="83">
        <f>K21+K22</f>
        <v>0.27043215954591976</v>
      </c>
      <c r="J25" s="84">
        <v>1</v>
      </c>
      <c r="K25" s="83">
        <f t="shared" si="0"/>
        <v>0.27043215954591976</v>
      </c>
      <c r="O25" s="108"/>
      <c r="P25" s="82" t="s">
        <v>120</v>
      </c>
      <c r="Q25" s="83">
        <f>T21+T22</f>
        <v>0.63200538255285021</v>
      </c>
      <c r="R25" s="83" t="s">
        <v>123</v>
      </c>
      <c r="S25" s="84">
        <v>1</v>
      </c>
      <c r="T25" s="83">
        <f>Q25/S25</f>
        <v>0.63200538255285021</v>
      </c>
    </row>
    <row r="26" spans="1:20" ht="16.5" thickBot="1" x14ac:dyDescent="0.2">
      <c r="G26" s="106" t="s">
        <v>121</v>
      </c>
      <c r="H26" s="82" t="s">
        <v>41</v>
      </c>
      <c r="I26" s="83">
        <f>I15/1000000</f>
        <v>4.3274049999999997</v>
      </c>
      <c r="J26" s="83">
        <f>G3</f>
        <v>246.82050000000001</v>
      </c>
      <c r="K26" s="83">
        <f t="shared" si="0"/>
        <v>1.7532599601734863E-2</v>
      </c>
      <c r="O26" s="106" t="s">
        <v>121</v>
      </c>
      <c r="P26" s="82" t="s">
        <v>41</v>
      </c>
      <c r="Q26" s="83">
        <f>Q15/1000000</f>
        <v>0.96048149999999999</v>
      </c>
      <c r="R26" s="83">
        <f>Q26/0.526</f>
        <v>1.8260104562737642</v>
      </c>
      <c r="S26" s="83">
        <f>G3</f>
        <v>246.82050000000001</v>
      </c>
      <c r="T26" s="83">
        <f>R26/S26</f>
        <v>7.398131258439895E-3</v>
      </c>
    </row>
    <row r="27" spans="1:20" ht="16.5" thickBot="1" x14ac:dyDescent="0.2">
      <c r="G27" s="107"/>
      <c r="H27" s="82" t="s">
        <v>117</v>
      </c>
      <c r="I27" s="83">
        <f>ABS(J15)/1000000</f>
        <v>3.5912999999999999</v>
      </c>
      <c r="J27" s="83">
        <f>F3*J21</f>
        <v>262.13768651050106</v>
      </c>
      <c r="K27" s="83">
        <f t="shared" si="0"/>
        <v>1.3700052242797736E-2</v>
      </c>
      <c r="O27" s="107"/>
      <c r="P27" s="82" t="s">
        <v>117</v>
      </c>
      <c r="Q27" s="83">
        <f>ABS(R15)/1000000</f>
        <v>0.96154609999999996</v>
      </c>
      <c r="R27" s="83">
        <f t="shared" ref="R27:R29" si="3">Q27/0.526</f>
        <v>1.8280344106463877</v>
      </c>
      <c r="S27" s="83">
        <f>许用应力!K2*1.545</f>
        <v>244.92438953888868</v>
      </c>
      <c r="T27" s="83">
        <f t="shared" ref="T27:T29" si="4">R27/S27</f>
        <v>7.4636683349011083E-3</v>
      </c>
    </row>
    <row r="28" spans="1:20" ht="16.5" thickBot="1" x14ac:dyDescent="0.2">
      <c r="G28" s="107"/>
      <c r="H28" s="82" t="s">
        <v>42</v>
      </c>
      <c r="I28" s="83">
        <f>K15/1000000</f>
        <v>289.31505600000003</v>
      </c>
      <c r="J28" s="83">
        <f>I3</f>
        <v>362.0034</v>
      </c>
      <c r="K28" s="83">
        <f t="shared" si="0"/>
        <v>0.79920535552980998</v>
      </c>
      <c r="O28" s="107"/>
      <c r="P28" s="82" t="s">
        <v>42</v>
      </c>
      <c r="Q28" s="83">
        <f>S15/1000000</f>
        <v>83.361385999999996</v>
      </c>
      <c r="R28" s="83">
        <f t="shared" si="3"/>
        <v>158.48172243346005</v>
      </c>
      <c r="S28" s="83">
        <f>I3</f>
        <v>362.0034</v>
      </c>
      <c r="T28" s="83">
        <f t="shared" si="4"/>
        <v>0.43779070150573185</v>
      </c>
    </row>
    <row r="29" spans="1:20" ht="16.5" thickBot="1" x14ac:dyDescent="0.2">
      <c r="G29" s="107"/>
      <c r="H29" s="82" t="s">
        <v>43</v>
      </c>
      <c r="I29" s="83">
        <f>L15/1000000</f>
        <v>25.293681600000003</v>
      </c>
      <c r="J29" s="83">
        <f>J3</f>
        <v>219.39600000000002</v>
      </c>
      <c r="K29" s="83">
        <f t="shared" si="0"/>
        <v>0.11528779740742767</v>
      </c>
      <c r="O29" s="107"/>
      <c r="P29" s="82" t="s">
        <v>43</v>
      </c>
      <c r="Q29" s="83">
        <f>T15/1000000</f>
        <v>6.1643723000000001</v>
      </c>
      <c r="R29" s="83">
        <f t="shared" si="3"/>
        <v>11.71933897338403</v>
      </c>
      <c r="S29" s="83">
        <f>J3</f>
        <v>219.39600000000002</v>
      </c>
      <c r="T29" s="83">
        <f t="shared" si="4"/>
        <v>5.3416374835384549E-2</v>
      </c>
    </row>
    <row r="30" spans="1:20" ht="16.5" thickBot="1" x14ac:dyDescent="0.2">
      <c r="G30" s="107"/>
      <c r="H30" s="82" t="s">
        <v>44</v>
      </c>
      <c r="I30" s="83">
        <f>K26+K28</f>
        <v>0.81673795513154479</v>
      </c>
      <c r="J30" s="84">
        <v>1</v>
      </c>
      <c r="K30" s="83">
        <f t="shared" si="0"/>
        <v>0.81673795513154479</v>
      </c>
      <c r="O30" s="107"/>
      <c r="P30" s="82" t="s">
        <v>44</v>
      </c>
      <c r="Q30" s="83">
        <f>T26+T28</f>
        <v>0.44518883276417176</v>
      </c>
      <c r="R30" s="83" t="s">
        <v>123</v>
      </c>
      <c r="S30" s="84">
        <v>1</v>
      </c>
      <c r="T30" s="83">
        <f>Q30/S30</f>
        <v>0.44518883276417176</v>
      </c>
    </row>
    <row r="31" spans="1:20" ht="16.5" thickBot="1" x14ac:dyDescent="0.2">
      <c r="G31" s="108"/>
      <c r="H31" s="82" t="s">
        <v>120</v>
      </c>
      <c r="I31" s="83">
        <f>K27+K28</f>
        <v>0.81290540777260767</v>
      </c>
      <c r="J31" s="84">
        <v>1</v>
      </c>
      <c r="K31" s="83">
        <f t="shared" si="0"/>
        <v>0.81290540777260767</v>
      </c>
      <c r="O31" s="108"/>
      <c r="P31" s="82" t="s">
        <v>120</v>
      </c>
      <c r="Q31" s="83">
        <f>T27+T28</f>
        <v>0.44525436984063294</v>
      </c>
      <c r="R31" s="83" t="s">
        <v>123</v>
      </c>
      <c r="S31" s="84">
        <v>1</v>
      </c>
      <c r="T31" s="83">
        <f>Q31/S31</f>
        <v>0.44525436984063294</v>
      </c>
    </row>
  </sheetData>
  <mergeCells count="4">
    <mergeCell ref="G20:G25"/>
    <mergeCell ref="G26:G31"/>
    <mergeCell ref="O20:O25"/>
    <mergeCell ref="O26:O3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>
      <selection activeCell="I23" sqref="I23"/>
    </sheetView>
  </sheetViews>
  <sheetFormatPr defaultRowHeight="13.5" x14ac:dyDescent="0.15"/>
  <cols>
    <col min="6" max="6" width="10.5" bestFit="1" customWidth="1"/>
    <col min="9" max="9" width="9.125" bestFit="1" customWidth="1"/>
    <col min="12" max="12" width="9.25" bestFit="1" customWidth="1"/>
  </cols>
  <sheetData>
    <row r="1" spans="1:24" ht="31.5" x14ac:dyDescent="0.15">
      <c r="A1" s="65" t="s">
        <v>60</v>
      </c>
      <c r="B1" s="65" t="s">
        <v>61</v>
      </c>
      <c r="C1" s="65" t="s">
        <v>62</v>
      </c>
      <c r="D1" s="66" t="s">
        <v>63</v>
      </c>
      <c r="E1" s="66" t="s">
        <v>71</v>
      </c>
      <c r="F1" s="66" t="s">
        <v>64</v>
      </c>
      <c r="G1" s="65" t="s">
        <v>65</v>
      </c>
      <c r="H1" s="66" t="s">
        <v>66</v>
      </c>
      <c r="I1" s="66" t="s">
        <v>67</v>
      </c>
      <c r="J1" s="66" t="s">
        <v>68</v>
      </c>
      <c r="K1" s="18" t="s">
        <v>69</v>
      </c>
    </row>
    <row r="2" spans="1:24" ht="20.100000000000001" customHeight="1" x14ac:dyDescent="0.15">
      <c r="A2" s="33" t="s">
        <v>47</v>
      </c>
      <c r="B2" s="34" t="s">
        <v>48</v>
      </c>
      <c r="C2" s="34">
        <v>0.55000000000000004</v>
      </c>
      <c r="D2" s="34">
        <v>2</v>
      </c>
      <c r="E2" s="34">
        <v>1.243E-3</v>
      </c>
      <c r="F2" s="35">
        <v>3.9200000000000002E-7</v>
      </c>
      <c r="G2" s="35">
        <v>204000</v>
      </c>
      <c r="H2" s="34">
        <v>355</v>
      </c>
      <c r="I2" s="34">
        <f t="shared" ref="I2:I11" si="0">D2*C2/(SQRT(F2/E2))</f>
        <v>61.941998873864215</v>
      </c>
      <c r="J2" s="34">
        <f t="shared" ref="J2:J11" si="1">SQRT(2*3.14*3.14*G2/H2)</f>
        <v>106.44997238007302</v>
      </c>
      <c r="K2" s="36">
        <f t="shared" ref="K2" si="2">(1-I2^2/(2*J2^2))*H2/(5/3+3*I2/(8*J2)-I2^3/(8*J2^3))</f>
        <v>158.52711297015449</v>
      </c>
      <c r="L2" s="34"/>
      <c r="M2" s="17"/>
      <c r="N2" s="18"/>
      <c r="O2" s="18"/>
      <c r="P2" s="18"/>
      <c r="Q2" s="18"/>
      <c r="R2" s="18"/>
      <c r="S2" s="18"/>
      <c r="T2" s="17"/>
      <c r="U2" s="17"/>
      <c r="V2" s="18"/>
      <c r="W2" s="18"/>
      <c r="X2" s="18"/>
    </row>
    <row r="3" spans="1:24" ht="20.100000000000001" customHeight="1" x14ac:dyDescent="0.15">
      <c r="A3" s="33" t="s">
        <v>47</v>
      </c>
      <c r="B3" s="34" t="s">
        <v>48</v>
      </c>
      <c r="C3" s="34">
        <v>0.67</v>
      </c>
      <c r="D3" s="34">
        <v>2</v>
      </c>
      <c r="E3" s="34">
        <v>1.49E-3</v>
      </c>
      <c r="F3" s="35">
        <v>9.8200000000000008E-7</v>
      </c>
      <c r="G3" s="35">
        <v>204000</v>
      </c>
      <c r="H3" s="34">
        <v>355</v>
      </c>
      <c r="I3" s="34">
        <f t="shared" si="0"/>
        <v>52.196596872314544</v>
      </c>
      <c r="J3" s="34">
        <f t="shared" si="1"/>
        <v>106.44997238007302</v>
      </c>
      <c r="K3" s="36">
        <f>(1-I3^2/(2*J3^2))*H3/(5/3+3*I3/(8*J3)-I3^3/(8*J3^3))</f>
        <v>170.12855369025124</v>
      </c>
      <c r="L3" s="34"/>
      <c r="M3" s="17"/>
      <c r="N3" s="18"/>
      <c r="O3" s="18"/>
      <c r="P3" s="18"/>
      <c r="Q3" s="18"/>
      <c r="R3" s="18"/>
      <c r="S3" s="18"/>
      <c r="T3" s="17"/>
      <c r="U3" s="17"/>
      <c r="V3" s="18"/>
      <c r="W3" s="18"/>
      <c r="X3" s="18"/>
    </row>
    <row r="4" spans="1:24" s="1" customFormat="1" ht="15.75" x14ac:dyDescent="0.15">
      <c r="A4" s="34" t="s">
        <v>49</v>
      </c>
      <c r="B4" s="34" t="s">
        <v>50</v>
      </c>
      <c r="C4" s="34">
        <v>0.6</v>
      </c>
      <c r="D4" s="34">
        <v>2</v>
      </c>
      <c r="E4" s="37">
        <v>2.1940000000000002E-3</v>
      </c>
      <c r="F4" s="35">
        <v>3.19E-6</v>
      </c>
      <c r="G4" s="35">
        <v>204000</v>
      </c>
      <c r="H4" s="34">
        <v>355</v>
      </c>
      <c r="I4" s="34">
        <f t="shared" si="0"/>
        <v>31.470541532137936</v>
      </c>
      <c r="J4" s="34">
        <f t="shared" si="1"/>
        <v>106.44997238007302</v>
      </c>
      <c r="K4" s="34">
        <f t="shared" ref="K4:K11" si="3">(1-I4^2/(2*J4^2))*H4/(5/3+3*I4/(8*J4)-I4^3/(8*J4^3))</f>
        <v>191.33526932501948</v>
      </c>
      <c r="L4" s="34"/>
      <c r="M4" s="33" t="s">
        <v>51</v>
      </c>
      <c r="N4" s="34"/>
      <c r="O4" s="34"/>
      <c r="P4" s="34"/>
      <c r="Q4" s="34"/>
      <c r="R4" s="34"/>
      <c r="S4" s="34"/>
      <c r="T4" s="33"/>
      <c r="U4" s="33"/>
      <c r="V4" s="34"/>
      <c r="W4" s="34"/>
      <c r="X4" s="34"/>
    </row>
    <row r="5" spans="1:24" s="42" customFormat="1" ht="15.75" x14ac:dyDescent="0.15">
      <c r="A5" s="38" t="s">
        <v>49</v>
      </c>
      <c r="B5" s="38" t="s">
        <v>48</v>
      </c>
      <c r="C5" s="38">
        <v>2.4</v>
      </c>
      <c r="D5" s="38">
        <v>2</v>
      </c>
      <c r="E5" s="39">
        <v>2.7789999999999998E-3</v>
      </c>
      <c r="F5" s="40">
        <v>3.8E-6</v>
      </c>
      <c r="G5" s="40">
        <v>204000</v>
      </c>
      <c r="H5" s="38">
        <v>355</v>
      </c>
      <c r="I5" s="38">
        <f t="shared" si="0"/>
        <v>129.80568473481307</v>
      </c>
      <c r="J5" s="38">
        <f t="shared" si="1"/>
        <v>106.44997238007302</v>
      </c>
      <c r="K5" s="38">
        <f t="shared" si="3"/>
        <v>47.998035568561889</v>
      </c>
      <c r="L5" s="38">
        <f>12*3.14*3.14*G5/23/I5^2</f>
        <v>62.280981585493691</v>
      </c>
      <c r="M5" s="41" t="s">
        <v>52</v>
      </c>
      <c r="N5" s="38"/>
      <c r="O5" s="38"/>
      <c r="P5" s="38"/>
      <c r="Q5" s="38"/>
      <c r="R5" s="38"/>
      <c r="S5" s="38"/>
      <c r="T5" s="41"/>
      <c r="U5" s="41"/>
      <c r="V5" s="38"/>
      <c r="W5" s="38"/>
      <c r="X5" s="38"/>
    </row>
    <row r="6" spans="1:24" s="46" customFormat="1" ht="15.75" x14ac:dyDescent="0.15">
      <c r="A6" s="36" t="s">
        <v>49</v>
      </c>
      <c r="B6" s="36" t="s">
        <v>48</v>
      </c>
      <c r="C6" s="36">
        <v>2</v>
      </c>
      <c r="D6" s="36">
        <v>2</v>
      </c>
      <c r="E6" s="43">
        <v>2.6740000000000002E-3</v>
      </c>
      <c r="F6" s="44">
        <v>5.7300000000000002E-6</v>
      </c>
      <c r="G6" s="44">
        <v>204000</v>
      </c>
      <c r="H6" s="36">
        <v>355</v>
      </c>
      <c r="I6" s="36">
        <f t="shared" si="0"/>
        <v>86.409875978771467</v>
      </c>
      <c r="J6" s="36">
        <f t="shared" si="1"/>
        <v>106.44997238007302</v>
      </c>
      <c r="K6" s="36">
        <f t="shared" si="3"/>
        <v>125.00767899655131</v>
      </c>
      <c r="L6" s="36"/>
      <c r="M6" s="45" t="s">
        <v>53</v>
      </c>
      <c r="N6" s="36"/>
      <c r="O6" s="36"/>
      <c r="P6" s="36"/>
      <c r="Q6" s="36"/>
      <c r="R6" s="36"/>
      <c r="S6" s="36"/>
      <c r="T6" s="45"/>
      <c r="U6" s="45"/>
      <c r="V6" s="36"/>
      <c r="W6" s="36"/>
      <c r="X6" s="36"/>
    </row>
    <row r="7" spans="1:24" s="52" customFormat="1" ht="15.75" x14ac:dyDescent="0.15">
      <c r="A7" s="47" t="s">
        <v>49</v>
      </c>
      <c r="B7" s="47" t="s">
        <v>48</v>
      </c>
      <c r="C7" s="47">
        <v>2</v>
      </c>
      <c r="D7" s="47">
        <v>2</v>
      </c>
      <c r="E7" s="48">
        <v>3.4190000000000002E-3</v>
      </c>
      <c r="F7" s="49">
        <v>6.9700000000000002E-6</v>
      </c>
      <c r="G7" s="50">
        <v>204000</v>
      </c>
      <c r="H7" s="47">
        <v>355</v>
      </c>
      <c r="I7" s="47">
        <f t="shared" si="0"/>
        <v>88.591723901044887</v>
      </c>
      <c r="J7" s="47">
        <f t="shared" si="1"/>
        <v>106.44997238007302</v>
      </c>
      <c r="K7" s="47">
        <f t="shared" si="3"/>
        <v>121.70742987295669</v>
      </c>
      <c r="L7" s="47"/>
      <c r="M7" s="51" t="s">
        <v>54</v>
      </c>
      <c r="N7" s="47"/>
      <c r="O7" s="47"/>
      <c r="P7" s="47"/>
      <c r="Q7" s="47"/>
      <c r="R7" s="47"/>
      <c r="S7" s="47"/>
      <c r="T7" s="51"/>
      <c r="U7" s="51"/>
      <c r="V7" s="47"/>
      <c r="W7" s="47"/>
      <c r="X7" s="47"/>
    </row>
    <row r="8" spans="1:24" s="58" customFormat="1" ht="15.75" x14ac:dyDescent="0.15">
      <c r="A8" s="53" t="s">
        <v>49</v>
      </c>
      <c r="B8" s="53" t="s">
        <v>48</v>
      </c>
      <c r="C8" s="53">
        <v>2</v>
      </c>
      <c r="D8" s="53">
        <v>2</v>
      </c>
      <c r="E8" s="54">
        <v>4.1419999999999998E-3</v>
      </c>
      <c r="F8" s="55">
        <v>8.0800000000000006E-6</v>
      </c>
      <c r="G8" s="56">
        <v>204000</v>
      </c>
      <c r="H8" s="53">
        <v>355</v>
      </c>
      <c r="I8" s="53">
        <f t="shared" si="0"/>
        <v>90.564784535821644</v>
      </c>
      <c r="J8" s="53">
        <f t="shared" si="1"/>
        <v>106.44997238007302</v>
      </c>
      <c r="K8" s="53">
        <f t="shared" si="3"/>
        <v>118.67716880788781</v>
      </c>
      <c r="L8" s="53"/>
      <c r="M8" s="57" t="s">
        <v>55</v>
      </c>
      <c r="N8" s="53"/>
      <c r="O8" s="53"/>
      <c r="P8" s="53"/>
      <c r="Q8" s="53"/>
      <c r="R8" s="53"/>
      <c r="S8" s="53"/>
      <c r="T8" s="57"/>
      <c r="U8" s="57"/>
      <c r="V8" s="53"/>
      <c r="W8" s="53"/>
      <c r="X8" s="53"/>
    </row>
    <row r="9" spans="1:24" s="52" customFormat="1" ht="15.75" x14ac:dyDescent="0.15">
      <c r="A9" s="47" t="s">
        <v>49</v>
      </c>
      <c r="B9" s="47" t="s">
        <v>48</v>
      </c>
      <c r="C9" s="47">
        <v>2</v>
      </c>
      <c r="D9" s="47">
        <v>2</v>
      </c>
      <c r="E9" s="48">
        <v>4.8129999999999996E-3</v>
      </c>
      <c r="F9" s="49">
        <v>8.9700000000000005E-6</v>
      </c>
      <c r="G9" s="50">
        <v>204000</v>
      </c>
      <c r="H9" s="47">
        <v>355</v>
      </c>
      <c r="I9" s="47">
        <f t="shared" si="0"/>
        <v>92.655605958280233</v>
      </c>
      <c r="J9" s="47">
        <f t="shared" si="1"/>
        <v>106.44997238007302</v>
      </c>
      <c r="K9" s="47">
        <f t="shared" si="3"/>
        <v>115.41787360722191</v>
      </c>
      <c r="L9" s="47"/>
      <c r="M9" s="51" t="s">
        <v>56</v>
      </c>
      <c r="N9" s="47"/>
      <c r="O9" s="47"/>
      <c r="P9" s="47"/>
      <c r="Q9" s="47"/>
      <c r="R9" s="47"/>
      <c r="S9" s="47"/>
      <c r="T9" s="51"/>
      <c r="U9" s="51"/>
      <c r="V9" s="47"/>
      <c r="W9" s="47"/>
      <c r="X9" s="47"/>
    </row>
    <row r="10" spans="1:24" s="64" customFormat="1" ht="15.75" x14ac:dyDescent="0.15">
      <c r="A10" s="59" t="s">
        <v>49</v>
      </c>
      <c r="B10" s="59" t="s">
        <v>57</v>
      </c>
      <c r="C10" s="59">
        <v>2</v>
      </c>
      <c r="D10" s="59">
        <v>2</v>
      </c>
      <c r="E10" s="60">
        <v>3.1540000000000001E-3</v>
      </c>
      <c r="F10" s="61">
        <v>9.3500000000000003E-6</v>
      </c>
      <c r="G10" s="62">
        <v>204000</v>
      </c>
      <c r="H10" s="59">
        <v>355</v>
      </c>
      <c r="I10" s="59">
        <f t="shared" si="0"/>
        <v>73.465769248929121</v>
      </c>
      <c r="J10" s="59">
        <f t="shared" si="1"/>
        <v>106.44997238007302</v>
      </c>
      <c r="K10" s="59">
        <f t="shared" si="3"/>
        <v>143.52566201340713</v>
      </c>
      <c r="L10" s="59"/>
      <c r="M10" s="63" t="s">
        <v>58</v>
      </c>
      <c r="N10" s="59"/>
      <c r="O10" s="59"/>
      <c r="P10" s="59"/>
      <c r="Q10" s="59"/>
      <c r="R10" s="59"/>
      <c r="S10" s="59"/>
      <c r="T10" s="63"/>
      <c r="U10" s="63"/>
      <c r="V10" s="59"/>
      <c r="W10" s="59"/>
      <c r="X10" s="59"/>
    </row>
    <row r="11" spans="1:24" s="58" customFormat="1" ht="15.75" x14ac:dyDescent="0.15">
      <c r="A11" s="53" t="s">
        <v>49</v>
      </c>
      <c r="B11" s="53" t="s">
        <v>57</v>
      </c>
      <c r="C11" s="53">
        <v>2</v>
      </c>
      <c r="D11" s="53">
        <v>2</v>
      </c>
      <c r="E11" s="54">
        <v>4.0590000000000001E-3</v>
      </c>
      <c r="F11" s="55">
        <v>1.15E-5</v>
      </c>
      <c r="G11" s="56">
        <v>204000</v>
      </c>
      <c r="H11" s="53">
        <v>355</v>
      </c>
      <c r="I11" s="53">
        <f t="shared" si="0"/>
        <v>75.148548541046921</v>
      </c>
      <c r="J11" s="53">
        <f t="shared" si="1"/>
        <v>106.44997238007302</v>
      </c>
      <c r="K11" s="53">
        <f t="shared" si="3"/>
        <v>141.21902105626339</v>
      </c>
      <c r="L11" s="53"/>
      <c r="M11" s="57" t="s">
        <v>59</v>
      </c>
      <c r="N11" s="53"/>
      <c r="O11" s="53"/>
      <c r="P11" s="53"/>
      <c r="Q11" s="53"/>
      <c r="R11" s="53"/>
      <c r="S11" s="53"/>
      <c r="T11" s="57"/>
      <c r="U11" s="57"/>
      <c r="V11" s="53"/>
      <c r="W11" s="53"/>
      <c r="X11" s="53"/>
    </row>
    <row r="12" spans="1:24" s="58" customFormat="1" ht="15.75" x14ac:dyDescent="0.15">
      <c r="A12" s="53" t="s">
        <v>49</v>
      </c>
      <c r="B12" s="53" t="s">
        <v>57</v>
      </c>
      <c r="C12" s="53">
        <v>1.6</v>
      </c>
      <c r="D12" s="53">
        <v>2</v>
      </c>
      <c r="E12" s="54">
        <v>4.6990000000000001E-3</v>
      </c>
      <c r="F12" s="55">
        <v>1.7799999999999999E-5</v>
      </c>
      <c r="G12" s="56">
        <v>204000</v>
      </c>
      <c r="H12" s="53">
        <v>355</v>
      </c>
      <c r="I12" s="53">
        <f t="shared" ref="I12" si="4">D12*C12/(SQRT(F12/E12))</f>
        <v>51.992739337528903</v>
      </c>
      <c r="J12" s="53">
        <f t="shared" ref="J12" si="5">SQRT(2*3.14*3.14*G12/H12)</f>
        <v>106.44997238007302</v>
      </c>
      <c r="K12" s="53">
        <f t="shared" ref="K12" si="6">(1-I12^2/(2*J12^2))*H12/(5/3+3*I12/(8*J12)-I12^3/(8*J12^3))</f>
        <v>170.36046606231886</v>
      </c>
      <c r="L12" s="53"/>
      <c r="M12" s="57" t="s">
        <v>171</v>
      </c>
      <c r="N12" s="53"/>
      <c r="O12" s="53"/>
      <c r="P12" s="53"/>
      <c r="Q12" s="53"/>
      <c r="R12" s="53"/>
      <c r="S12" s="53"/>
      <c r="T12" s="57"/>
      <c r="U12" s="57"/>
      <c r="V12" s="53"/>
      <c r="W12" s="53"/>
      <c r="X12" s="53"/>
    </row>
    <row r="13" spans="1:24" ht="15.75" x14ac:dyDescent="0.15">
      <c r="A13" s="53" t="s">
        <v>49</v>
      </c>
      <c r="B13" s="53" t="s">
        <v>57</v>
      </c>
      <c r="C13" s="53">
        <v>1.6</v>
      </c>
      <c r="D13" s="53">
        <v>2</v>
      </c>
      <c r="E13" s="54">
        <v>6.7330000000000003E-3</v>
      </c>
      <c r="F13" s="55">
        <v>2.3900000000000002E-5</v>
      </c>
      <c r="G13" s="56">
        <v>204000</v>
      </c>
      <c r="H13" s="53">
        <v>355</v>
      </c>
      <c r="I13" s="53">
        <f t="shared" ref="I13" si="7">D13*C13/(SQRT(F13/E13))</f>
        <v>53.71002259538394</v>
      </c>
      <c r="J13" s="53">
        <f t="shared" ref="J13" si="8">SQRT(2*3.14*3.14*G13/H13)</f>
        <v>106.44997238007302</v>
      </c>
      <c r="K13" s="53">
        <f t="shared" ref="K13" si="9">(1-I13^2/(2*J13^2))*H13/(5/3+3*I13/(8*J13)-I13^3/(8*J13^3))</f>
        <v>168.39292095815631</v>
      </c>
      <c r="L13" s="53"/>
      <c r="M13" s="57" t="s">
        <v>172</v>
      </c>
    </row>
    <row r="16" spans="1:24" ht="14.25" thickBot="1" x14ac:dyDescent="0.2"/>
    <row r="17" spans="1:13" ht="16.5" thickBot="1" x14ac:dyDescent="0.2">
      <c r="C17" s="14"/>
      <c r="D17" s="15"/>
      <c r="E17" s="109" t="s">
        <v>35</v>
      </c>
      <c r="F17" s="109"/>
      <c r="G17" s="109"/>
      <c r="H17" s="110" t="s">
        <v>36</v>
      </c>
      <c r="I17" s="110"/>
      <c r="J17" s="110"/>
      <c r="K17" s="16"/>
      <c r="L17" s="17"/>
      <c r="M17" s="18"/>
    </row>
    <row r="18" spans="1:13" ht="16.5" thickBot="1" x14ac:dyDescent="0.2">
      <c r="C18" s="19"/>
      <c r="D18" s="15"/>
      <c r="E18" s="15" t="s">
        <v>37</v>
      </c>
      <c r="F18" s="15" t="s">
        <v>38</v>
      </c>
      <c r="G18" s="15" t="s">
        <v>39</v>
      </c>
      <c r="H18" s="15" t="s">
        <v>37</v>
      </c>
      <c r="I18" s="15" t="s">
        <v>38</v>
      </c>
      <c r="J18" s="15" t="s">
        <v>39</v>
      </c>
      <c r="L18" s="17"/>
      <c r="M18" s="18"/>
    </row>
    <row r="19" spans="1:13" ht="16.5" thickBot="1" x14ac:dyDescent="0.2">
      <c r="C19" s="111" t="s">
        <v>40</v>
      </c>
      <c r="D19" s="20" t="s">
        <v>41</v>
      </c>
      <c r="E19" s="21" t="e">
        <f>#REF!</f>
        <v>#REF!</v>
      </c>
      <c r="F19" s="22">
        <v>141.19999999999999</v>
      </c>
      <c r="G19" s="23" t="e">
        <f>E19/F19</f>
        <v>#REF!</v>
      </c>
      <c r="H19" s="21" t="e">
        <f>#REF!</f>
        <v>#REF!</v>
      </c>
      <c r="I19" s="22">
        <f>F19*1.545</f>
        <v>218.15399999999997</v>
      </c>
      <c r="J19" s="23" t="e">
        <f>H19/I19</f>
        <v>#REF!</v>
      </c>
      <c r="L19" s="17"/>
      <c r="M19" s="18"/>
    </row>
    <row r="20" spans="1:13" ht="16.5" thickBot="1" x14ac:dyDescent="0.2">
      <c r="C20" s="112"/>
      <c r="D20" s="20" t="s">
        <v>42</v>
      </c>
      <c r="E20" s="21" t="e">
        <f>#REF!</f>
        <v>#REF!</v>
      </c>
      <c r="F20" s="22">
        <v>234.3</v>
      </c>
      <c r="G20" s="23" t="e">
        <f t="shared" ref="G20:G22" si="10">E20/F20</f>
        <v>#REF!</v>
      </c>
      <c r="H20" s="21" t="e">
        <f>#REF!</f>
        <v>#REF!</v>
      </c>
      <c r="I20" s="22">
        <f>F20*1.545</f>
        <v>361.99349999999998</v>
      </c>
      <c r="J20" s="23" t="e">
        <f t="shared" ref="J20:J22" si="11">H20/I20</f>
        <v>#REF!</v>
      </c>
      <c r="L20" s="17"/>
      <c r="M20" s="18"/>
    </row>
    <row r="21" spans="1:13" ht="16.5" thickBot="1" x14ac:dyDescent="0.2">
      <c r="C21" s="112"/>
      <c r="D21" s="20" t="s">
        <v>43</v>
      </c>
      <c r="E21" s="21" t="e">
        <f>#REF!</f>
        <v>#REF!</v>
      </c>
      <c r="F21" s="22">
        <v>142</v>
      </c>
      <c r="G21" s="23" t="e">
        <f t="shared" si="10"/>
        <v>#REF!</v>
      </c>
      <c r="H21" s="21" t="e">
        <f>#REF!</f>
        <v>#REF!</v>
      </c>
      <c r="I21" s="22">
        <f>F21*1.545</f>
        <v>219.39</v>
      </c>
      <c r="J21" s="23" t="e">
        <f t="shared" si="11"/>
        <v>#REF!</v>
      </c>
      <c r="L21" s="17"/>
      <c r="M21" s="18"/>
    </row>
    <row r="22" spans="1:13" ht="16.5" thickBot="1" x14ac:dyDescent="0.2">
      <c r="C22" s="112"/>
      <c r="D22" s="20" t="s">
        <v>44</v>
      </c>
      <c r="E22" s="23" t="e">
        <f>G19+G20</f>
        <v>#REF!</v>
      </c>
      <c r="F22" s="22">
        <v>1</v>
      </c>
      <c r="G22" s="23" t="e">
        <f t="shared" si="10"/>
        <v>#REF!</v>
      </c>
      <c r="H22" s="23" t="e">
        <f>J19+J20</f>
        <v>#REF!</v>
      </c>
      <c r="I22" s="22">
        <v>1</v>
      </c>
      <c r="J22" s="23" t="e">
        <f t="shared" si="11"/>
        <v>#REF!</v>
      </c>
      <c r="L22" s="17"/>
      <c r="M22" s="18"/>
    </row>
    <row r="23" spans="1:13" ht="15.75" x14ac:dyDescent="0.15">
      <c r="C23" s="18"/>
      <c r="D23" s="18"/>
      <c r="E23" s="24"/>
      <c r="F23" s="24"/>
      <c r="G23" s="24"/>
      <c r="H23" s="24"/>
      <c r="I23" s="24"/>
      <c r="J23" s="24"/>
      <c r="K23" s="18"/>
      <c r="L23" s="17"/>
      <c r="M23" s="18"/>
    </row>
    <row r="24" spans="1:13" ht="15.75" x14ac:dyDescent="0.15">
      <c r="C24" s="18"/>
      <c r="D24" s="18"/>
      <c r="E24" s="24"/>
      <c r="F24" s="24"/>
      <c r="G24" s="24"/>
      <c r="H24" s="24"/>
      <c r="I24" s="24"/>
      <c r="J24" s="24"/>
      <c r="K24" s="18"/>
      <c r="L24" s="17"/>
      <c r="M24" s="18"/>
    </row>
    <row r="25" spans="1:13" ht="16.5" thickBot="1" x14ac:dyDescent="0.2">
      <c r="C25" s="18"/>
      <c r="D25" s="18"/>
      <c r="E25" s="24"/>
      <c r="F25" s="24"/>
      <c r="G25" s="24"/>
      <c r="H25" s="24"/>
      <c r="I25" s="24"/>
      <c r="J25" s="24"/>
      <c r="K25" s="18"/>
      <c r="L25" s="17"/>
      <c r="M25" s="18"/>
    </row>
    <row r="26" spans="1:13" ht="16.5" thickBot="1" x14ac:dyDescent="0.2">
      <c r="C26" s="14"/>
      <c r="D26" s="15"/>
      <c r="E26" s="25"/>
      <c r="F26" s="26"/>
      <c r="G26" s="27"/>
      <c r="H26" s="28"/>
      <c r="I26" s="29"/>
      <c r="J26" s="30"/>
      <c r="K26" s="18"/>
      <c r="L26" s="17"/>
      <c r="M26" s="18"/>
    </row>
    <row r="27" spans="1:13" ht="16.5" thickBot="1" x14ac:dyDescent="0.2">
      <c r="C27" s="19"/>
      <c r="D27" s="15"/>
      <c r="E27" s="15" t="s">
        <v>37</v>
      </c>
      <c r="F27" t="s">
        <v>45</v>
      </c>
      <c r="G27" s="15" t="s">
        <v>38</v>
      </c>
      <c r="H27" s="15" t="s">
        <v>39</v>
      </c>
      <c r="I27" s="15" t="s">
        <v>37</v>
      </c>
      <c r="J27" s="31" t="s">
        <v>45</v>
      </c>
      <c r="K27" s="15" t="s">
        <v>38</v>
      </c>
      <c r="L27" s="15" t="s">
        <v>39</v>
      </c>
      <c r="M27" s="18"/>
    </row>
    <row r="28" spans="1:13" ht="16.5" thickBot="1" x14ac:dyDescent="0.2">
      <c r="A28" t="s">
        <v>72</v>
      </c>
      <c r="C28" s="111" t="s">
        <v>46</v>
      </c>
      <c r="D28" s="20" t="s">
        <v>41</v>
      </c>
      <c r="E28" s="21" t="e">
        <f>#REF!</f>
        <v>#REF!</v>
      </c>
      <c r="F28" s="32" t="e">
        <f>E28/0.526</f>
        <v>#REF!</v>
      </c>
      <c r="G28" s="22">
        <v>180.2</v>
      </c>
      <c r="H28" s="23" t="e">
        <f>F28/G28</f>
        <v>#REF!</v>
      </c>
      <c r="I28" s="21" t="e">
        <f>#REF!</f>
        <v>#REF!</v>
      </c>
      <c r="J28" s="32" t="e">
        <f>I28/0.526</f>
        <v>#REF!</v>
      </c>
      <c r="K28" s="22">
        <f>G28*1.545</f>
        <v>278.40899999999999</v>
      </c>
      <c r="L28" s="23" t="e">
        <f>J28/K28</f>
        <v>#REF!</v>
      </c>
      <c r="M28" s="18"/>
    </row>
    <row r="29" spans="1:13" ht="16.5" thickBot="1" x14ac:dyDescent="0.2">
      <c r="C29" s="112"/>
      <c r="D29" s="20" t="s">
        <v>42</v>
      </c>
      <c r="E29" s="21" t="e">
        <f>#REF!</f>
        <v>#REF!</v>
      </c>
      <c r="F29" s="32" t="e">
        <f t="shared" ref="F29:F30" si="12">E29/0.526</f>
        <v>#REF!</v>
      </c>
      <c r="G29" s="22">
        <v>234.3</v>
      </c>
      <c r="H29" s="23" t="e">
        <f t="shared" ref="H29:H31" si="13">F29/G29</f>
        <v>#REF!</v>
      </c>
      <c r="I29" s="21" t="e">
        <f>#REF!</f>
        <v>#REF!</v>
      </c>
      <c r="J29" s="32" t="e">
        <f t="shared" ref="J29:J30" si="14">I29/0.526</f>
        <v>#REF!</v>
      </c>
      <c r="K29" s="22">
        <f>G29*1.545</f>
        <v>361.99349999999998</v>
      </c>
      <c r="L29" s="23" t="e">
        <f t="shared" ref="L29:L30" si="15">J29/K29</f>
        <v>#REF!</v>
      </c>
      <c r="M29" s="18"/>
    </row>
    <row r="30" spans="1:13" ht="16.5" thickBot="1" x14ac:dyDescent="0.2">
      <c r="C30" s="112"/>
      <c r="D30" s="20" t="s">
        <v>43</v>
      </c>
      <c r="E30" s="21" t="e">
        <f>#REF!</f>
        <v>#REF!</v>
      </c>
      <c r="F30" s="32" t="e">
        <f t="shared" si="12"/>
        <v>#REF!</v>
      </c>
      <c r="G30" s="22">
        <v>142</v>
      </c>
      <c r="H30" s="23" t="e">
        <f t="shared" si="13"/>
        <v>#REF!</v>
      </c>
      <c r="I30" s="21" t="e">
        <f>#REF!</f>
        <v>#REF!</v>
      </c>
      <c r="J30" s="32" t="e">
        <f t="shared" si="14"/>
        <v>#REF!</v>
      </c>
      <c r="K30" s="22">
        <f>G30*1.545</f>
        <v>219.39</v>
      </c>
      <c r="L30" s="23" t="e">
        <f t="shared" si="15"/>
        <v>#REF!</v>
      </c>
      <c r="M30" s="18"/>
    </row>
    <row r="31" spans="1:13" ht="16.5" thickBot="1" x14ac:dyDescent="0.2">
      <c r="C31" s="112"/>
      <c r="D31" s="20" t="s">
        <v>44</v>
      </c>
      <c r="E31" s="23"/>
      <c r="F31" s="32" t="e">
        <f>H28+H29</f>
        <v>#REF!</v>
      </c>
      <c r="G31" s="22">
        <v>1</v>
      </c>
      <c r="H31" s="23" t="e">
        <f t="shared" si="13"/>
        <v>#REF!</v>
      </c>
      <c r="I31" s="23" t="e">
        <f>L28+L29</f>
        <v>#REF!</v>
      </c>
      <c r="J31" s="32" t="e">
        <f>L28+L29</f>
        <v>#REF!</v>
      </c>
      <c r="K31" s="22">
        <v>1</v>
      </c>
      <c r="L31" s="23" t="e">
        <f>J31/K31</f>
        <v>#REF!</v>
      </c>
      <c r="M31" s="18"/>
    </row>
    <row r="32" spans="1:13" ht="15.75" x14ac:dyDescent="0.15">
      <c r="C32" s="18"/>
      <c r="D32" s="18"/>
      <c r="E32" s="24"/>
      <c r="F32" s="24"/>
      <c r="G32" s="24"/>
      <c r="H32" s="24"/>
      <c r="I32" s="24"/>
      <c r="J32" s="24"/>
      <c r="K32" s="18"/>
      <c r="L32" s="17"/>
      <c r="M32" s="18"/>
    </row>
  </sheetData>
  <mergeCells count="4">
    <mergeCell ref="E17:G17"/>
    <mergeCell ref="H17:J17"/>
    <mergeCell ref="C19:C22"/>
    <mergeCell ref="C28:C3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Y39"/>
  <sheetViews>
    <sheetView topLeftCell="A11" workbookViewId="0">
      <selection activeCell="I34" sqref="I34"/>
    </sheetView>
  </sheetViews>
  <sheetFormatPr defaultRowHeight="13.5" x14ac:dyDescent="0.15"/>
  <cols>
    <col min="19" max="19" width="11.625" customWidth="1"/>
  </cols>
  <sheetData>
    <row r="4" spans="2:25" x14ac:dyDescent="0.15">
      <c r="B4" s="1">
        <v>60</v>
      </c>
      <c r="C4" s="86"/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</row>
    <row r="5" spans="2:25" x14ac:dyDescent="0.15">
      <c r="C5" s="46"/>
      <c r="D5">
        <v>2</v>
      </c>
      <c r="E5">
        <v>-119.86</v>
      </c>
      <c r="F5" s="2">
        <v>-18.706</v>
      </c>
      <c r="G5">
        <v>2436.4</v>
      </c>
      <c r="H5" s="2">
        <v>1.3173999999999999E-8</v>
      </c>
      <c r="I5">
        <v>-891.75</v>
      </c>
      <c r="J5" s="2">
        <v>8.9609000000000005</v>
      </c>
      <c r="T5" s="2"/>
    </row>
    <row r="6" spans="2:25" x14ac:dyDescent="0.15">
      <c r="C6" s="86"/>
      <c r="D6">
        <v>43</v>
      </c>
      <c r="E6">
        <v>239.72</v>
      </c>
      <c r="F6" s="2">
        <v>2042.2</v>
      </c>
      <c r="G6" s="2">
        <v>1.2496E-8</v>
      </c>
      <c r="H6" s="2">
        <v>-761.16</v>
      </c>
      <c r="I6" s="2">
        <v>5.2630000000000002E-8</v>
      </c>
      <c r="J6" s="2"/>
      <c r="S6" s="2"/>
      <c r="T6" s="2"/>
      <c r="U6" s="2"/>
      <c r="W6" s="2"/>
    </row>
    <row r="7" spans="2:25" x14ac:dyDescent="0.15">
      <c r="C7" s="86"/>
      <c r="D7">
        <v>84</v>
      </c>
      <c r="E7" s="2">
        <v>-119.86</v>
      </c>
      <c r="F7" s="2">
        <v>18.706</v>
      </c>
      <c r="G7">
        <v>2436.4</v>
      </c>
      <c r="H7" s="2">
        <v>1.3226E-8</v>
      </c>
      <c r="I7" s="2">
        <v>-891.75</v>
      </c>
      <c r="J7" s="2">
        <v>-8.9609000000000005</v>
      </c>
      <c r="Q7" s="2"/>
      <c r="R7" s="2"/>
      <c r="S7" s="2"/>
      <c r="U7" s="2"/>
      <c r="W7" s="2"/>
    </row>
    <row r="8" spans="2:25" x14ac:dyDescent="0.15">
      <c r="C8" s="86"/>
      <c r="D8" t="s">
        <v>124</v>
      </c>
      <c r="E8">
        <f t="array" ref="E8">MAX(ABS(E5:E7))</f>
        <v>239.72</v>
      </c>
      <c r="F8">
        <f t="array" ref="F8">MAX(ABS(F5:F7))</f>
        <v>2042.2</v>
      </c>
      <c r="G8">
        <f t="array" ref="G8">MAX(ABS(G5:G7))</f>
        <v>2436.4</v>
      </c>
      <c r="H8">
        <f t="array" ref="H8">MAX(ABS(H5:H7))</f>
        <v>761.16</v>
      </c>
      <c r="I8">
        <f t="array" ref="I8">MAX(ABS(I5:I7))</f>
        <v>891.75</v>
      </c>
      <c r="J8">
        <f t="array" ref="J8">MAX(ABS(J5:J7))</f>
        <v>8.9609000000000005</v>
      </c>
      <c r="S8" s="2"/>
      <c r="T8" s="2"/>
      <c r="U8" s="2"/>
      <c r="V8" s="2"/>
      <c r="W8" s="2"/>
    </row>
    <row r="9" spans="2:25" x14ac:dyDescent="0.15">
      <c r="C9" s="86"/>
      <c r="R9" s="2"/>
      <c r="S9" s="2"/>
      <c r="U9" s="2"/>
      <c r="V9" s="2"/>
      <c r="W9" s="2"/>
    </row>
    <row r="10" spans="2:25" x14ac:dyDescent="0.15">
      <c r="C10" s="86"/>
      <c r="S10" s="2"/>
      <c r="U10" s="2"/>
      <c r="W10" s="2"/>
    </row>
    <row r="11" spans="2:25" x14ac:dyDescent="0.15">
      <c r="B11" s="1">
        <v>40</v>
      </c>
      <c r="C11" s="86"/>
      <c r="D11" t="s">
        <v>0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6</v>
      </c>
      <c r="S11" s="2"/>
      <c r="U11" s="2"/>
      <c r="W11" s="2"/>
      <c r="Y11" s="2"/>
    </row>
    <row r="12" spans="2:25" x14ac:dyDescent="0.15">
      <c r="C12" s="86"/>
      <c r="D12">
        <v>2</v>
      </c>
      <c r="E12">
        <v>1363.5</v>
      </c>
      <c r="F12">
        <v>954.17</v>
      </c>
      <c r="G12">
        <v>1504</v>
      </c>
      <c r="H12">
        <v>1.3038000000000001</v>
      </c>
      <c r="I12">
        <v>577.07000000000005</v>
      </c>
      <c r="J12" s="2">
        <v>471.32</v>
      </c>
      <c r="S12" s="2"/>
      <c r="U12" s="2"/>
      <c r="W12" s="2"/>
      <c r="Y12" s="2"/>
    </row>
    <row r="13" spans="2:25" x14ac:dyDescent="0.15">
      <c r="C13" s="86"/>
      <c r="D13">
        <v>43</v>
      </c>
      <c r="E13">
        <v>1299.4000000000001</v>
      </c>
      <c r="F13">
        <v>948.55</v>
      </c>
      <c r="G13">
        <v>1978.5</v>
      </c>
      <c r="H13">
        <v>1.3008999999999999</v>
      </c>
      <c r="I13">
        <v>733.22</v>
      </c>
      <c r="J13" s="2">
        <v>475.68</v>
      </c>
      <c r="U13" s="2"/>
      <c r="W13" s="2"/>
      <c r="Y13" s="2"/>
    </row>
    <row r="14" spans="2:25" x14ac:dyDescent="0.15">
      <c r="C14" s="86"/>
      <c r="D14">
        <v>84</v>
      </c>
      <c r="E14">
        <v>1363.5</v>
      </c>
      <c r="F14">
        <v>954.17</v>
      </c>
      <c r="G14">
        <v>1504</v>
      </c>
      <c r="H14">
        <v>1.3038000000000001</v>
      </c>
      <c r="I14">
        <v>577.07000000000005</v>
      </c>
      <c r="J14" s="2">
        <v>471.32</v>
      </c>
      <c r="T14" s="2"/>
      <c r="U14" s="2"/>
    </row>
    <row r="15" spans="2:25" x14ac:dyDescent="0.15">
      <c r="C15" s="86"/>
      <c r="D15" t="s">
        <v>124</v>
      </c>
      <c r="E15">
        <f t="array" ref="E15">MAX(ABS(E12:E14))</f>
        <v>1363.5</v>
      </c>
      <c r="F15">
        <f t="array" ref="F15">MAX(ABS(F12:F14))</f>
        <v>954.17</v>
      </c>
      <c r="G15">
        <f t="array" ref="G15">MAX(ABS(G12:G14))</f>
        <v>1978.5</v>
      </c>
      <c r="H15">
        <f t="array" ref="H15">MAX(ABS(H12:H14))</f>
        <v>1.3038000000000001</v>
      </c>
      <c r="I15">
        <f t="array" ref="I15">MAX(ABS(I12:I14))</f>
        <v>733.22</v>
      </c>
      <c r="J15">
        <f t="array" ref="J15">MAX(ABS(J12:J14))</f>
        <v>475.68</v>
      </c>
      <c r="S15" s="2"/>
      <c r="T15" s="2"/>
      <c r="U15" s="2"/>
      <c r="V15" s="2"/>
    </row>
    <row r="16" spans="2:25" x14ac:dyDescent="0.15">
      <c r="C16" s="86"/>
      <c r="Q16" s="2"/>
      <c r="R16" s="2"/>
      <c r="S16" s="2"/>
      <c r="U16" s="2"/>
      <c r="V16" s="2"/>
    </row>
    <row r="17" spans="2:23" x14ac:dyDescent="0.15">
      <c r="B17" s="1">
        <v>41</v>
      </c>
      <c r="C17" s="86"/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</row>
    <row r="18" spans="2:23" x14ac:dyDescent="0.15">
      <c r="C18" s="86"/>
      <c r="D18">
        <v>2</v>
      </c>
      <c r="E18">
        <v>2838.5</v>
      </c>
      <c r="F18">
        <v>2052.6</v>
      </c>
      <c r="G18">
        <v>2040.6</v>
      </c>
      <c r="H18">
        <v>2.8248000000000002</v>
      </c>
      <c r="I18">
        <v>811.1</v>
      </c>
      <c r="J18" s="2">
        <v>984.76</v>
      </c>
      <c r="V18" s="2"/>
    </row>
    <row r="19" spans="2:23" x14ac:dyDescent="0.15">
      <c r="C19" s="86"/>
      <c r="D19">
        <v>43</v>
      </c>
      <c r="E19">
        <v>2652.5</v>
      </c>
      <c r="F19">
        <v>2043.4</v>
      </c>
      <c r="G19">
        <v>2438.9</v>
      </c>
      <c r="H19">
        <v>2.8264999999999998</v>
      </c>
      <c r="I19">
        <v>921.61</v>
      </c>
      <c r="J19" s="2">
        <v>994.55</v>
      </c>
      <c r="U19" s="2"/>
      <c r="V19" s="2"/>
      <c r="W19" s="2"/>
    </row>
    <row r="20" spans="2:23" x14ac:dyDescent="0.15">
      <c r="C20" s="86"/>
      <c r="D20">
        <v>84</v>
      </c>
      <c r="E20">
        <v>2838.5</v>
      </c>
      <c r="F20">
        <v>2052.6</v>
      </c>
      <c r="G20">
        <v>2040.6</v>
      </c>
      <c r="H20">
        <v>2.8248000000000002</v>
      </c>
      <c r="I20">
        <v>811.1</v>
      </c>
      <c r="J20" s="2">
        <v>984.76</v>
      </c>
      <c r="S20" s="2"/>
      <c r="T20" s="2"/>
      <c r="U20" s="2"/>
      <c r="W20" s="2"/>
    </row>
    <row r="21" spans="2:23" x14ac:dyDescent="0.15">
      <c r="C21" s="86"/>
      <c r="D21" t="s">
        <v>124</v>
      </c>
      <c r="E21">
        <f t="array" ref="E21">MAX(ABS(E18:E20))</f>
        <v>2838.5</v>
      </c>
      <c r="F21">
        <f t="array" ref="F21">MAX(ABS(F18:F20))</f>
        <v>2052.6</v>
      </c>
      <c r="G21">
        <f t="array" ref="G21">MAX(ABS(G18:G20))</f>
        <v>2438.9</v>
      </c>
      <c r="H21">
        <f t="array" ref="H21">MAX(ABS(H18:H20))</f>
        <v>2.8264999999999998</v>
      </c>
      <c r="I21">
        <f t="array" ref="I21">MAX(ABS(I18:I20))</f>
        <v>921.61</v>
      </c>
      <c r="J21">
        <f t="array" ref="J21">MAX(ABS(J18:J20))</f>
        <v>994.55</v>
      </c>
      <c r="T21" s="2"/>
      <c r="U21" s="2"/>
      <c r="V21" s="2"/>
    </row>
    <row r="22" spans="2:23" x14ac:dyDescent="0.15">
      <c r="R22" s="2"/>
      <c r="S22" s="2"/>
      <c r="V22" s="2"/>
    </row>
    <row r="23" spans="2:23" x14ac:dyDescent="0.15">
      <c r="V23" s="2"/>
    </row>
    <row r="24" spans="2:23" x14ac:dyDescent="0.15">
      <c r="C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I24" t="s">
        <v>13</v>
      </c>
      <c r="J24" t="s">
        <v>14</v>
      </c>
      <c r="U24" s="2"/>
      <c r="V24" s="2"/>
      <c r="W24" s="2"/>
    </row>
    <row r="25" spans="2:23" ht="15.75" x14ac:dyDescent="0.15">
      <c r="D25" t="s">
        <v>15</v>
      </c>
      <c r="E25" s="3">
        <f>E8</f>
        <v>239.72</v>
      </c>
      <c r="F25" s="3">
        <f t="shared" ref="F25:I25" si="0">F8</f>
        <v>2042.2</v>
      </c>
      <c r="G25" s="3">
        <f t="shared" si="0"/>
        <v>2436.4</v>
      </c>
      <c r="H25" s="3">
        <f t="shared" si="0"/>
        <v>761.16</v>
      </c>
      <c r="I25" s="3">
        <f t="shared" si="0"/>
        <v>891.75</v>
      </c>
      <c r="J25" s="3">
        <f>J8</f>
        <v>8.9609000000000005</v>
      </c>
      <c r="S25" s="2"/>
      <c r="T25" s="2"/>
      <c r="U25" s="2"/>
      <c r="V25" s="2"/>
      <c r="W25" s="2"/>
    </row>
    <row r="26" spans="2:23" ht="15.75" x14ac:dyDescent="0.15">
      <c r="D26" t="s">
        <v>16</v>
      </c>
      <c r="E26" s="3">
        <f>E15</f>
        <v>1363.5</v>
      </c>
      <c r="F26" s="3">
        <f t="shared" ref="F26:J26" si="1">F15</f>
        <v>954.17</v>
      </c>
      <c r="G26" s="3">
        <f t="shared" si="1"/>
        <v>1978.5</v>
      </c>
      <c r="H26" s="3">
        <f t="shared" si="1"/>
        <v>1.3038000000000001</v>
      </c>
      <c r="I26" s="3">
        <f t="shared" si="1"/>
        <v>733.22</v>
      </c>
      <c r="J26" s="3">
        <f t="shared" si="1"/>
        <v>475.68</v>
      </c>
      <c r="S26" s="2"/>
      <c r="T26" s="2"/>
      <c r="U26" s="2"/>
      <c r="W26" s="2"/>
    </row>
    <row r="27" spans="2:23" ht="15.75" x14ac:dyDescent="0.15">
      <c r="D27" t="s">
        <v>17</v>
      </c>
      <c r="E27" s="3">
        <f>E21</f>
        <v>2838.5</v>
      </c>
      <c r="F27" s="3">
        <f t="shared" ref="F27:J27" si="2">F21</f>
        <v>2052.6</v>
      </c>
      <c r="G27" s="3">
        <f t="shared" si="2"/>
        <v>2438.9</v>
      </c>
      <c r="H27" s="3">
        <f t="shared" si="2"/>
        <v>2.8264999999999998</v>
      </c>
      <c r="I27" s="3">
        <f t="shared" si="2"/>
        <v>921.61</v>
      </c>
      <c r="J27" s="3">
        <f t="shared" si="2"/>
        <v>994.55</v>
      </c>
      <c r="T27" s="2"/>
      <c r="U27" s="2"/>
      <c r="V27" s="2"/>
    </row>
    <row r="28" spans="2:23" x14ac:dyDescent="0.15">
      <c r="R28" s="2"/>
      <c r="S28" s="2"/>
      <c r="V28" s="2"/>
    </row>
    <row r="30" spans="2:23" x14ac:dyDescent="0.15">
      <c r="D30" t="s">
        <v>95</v>
      </c>
      <c r="E30" t="s">
        <v>126</v>
      </c>
      <c r="F30" t="s">
        <v>127</v>
      </c>
      <c r="G30" t="s">
        <v>128</v>
      </c>
      <c r="H30" t="s">
        <v>12</v>
      </c>
      <c r="I30" t="s">
        <v>13</v>
      </c>
      <c r="J30" t="s">
        <v>14</v>
      </c>
      <c r="V30" s="2"/>
    </row>
    <row r="31" spans="2:23" ht="15.75" x14ac:dyDescent="0.15">
      <c r="D31" t="s">
        <v>129</v>
      </c>
      <c r="E31" s="3">
        <v>0</v>
      </c>
      <c r="F31" s="3">
        <v>0</v>
      </c>
      <c r="G31" s="3">
        <v>10481.4</v>
      </c>
      <c r="H31" s="3">
        <v>0</v>
      </c>
      <c r="I31" s="3">
        <v>0</v>
      </c>
      <c r="J31" s="3">
        <v>0</v>
      </c>
      <c r="U31" s="2"/>
      <c r="V31" s="2"/>
      <c r="W31" s="2"/>
    </row>
    <row r="32" spans="2:23" ht="15.75" x14ac:dyDescent="0.15">
      <c r="D32" t="s">
        <v>130</v>
      </c>
      <c r="E32" s="3">
        <v>3895.4</v>
      </c>
      <c r="F32" s="3">
        <v>4151.5</v>
      </c>
      <c r="G32" s="3">
        <v>4945.8999999999996</v>
      </c>
      <c r="H32" s="3">
        <v>4783.6000000000004</v>
      </c>
      <c r="I32" s="3">
        <v>4694.3</v>
      </c>
      <c r="J32" s="3">
        <v>0</v>
      </c>
      <c r="S32" s="2"/>
      <c r="T32" s="2"/>
      <c r="W32" s="2"/>
    </row>
    <row r="33" spans="3:10" ht="15.75" x14ac:dyDescent="0.15">
      <c r="D33" t="s">
        <v>131</v>
      </c>
      <c r="E33" s="3">
        <v>18960.099999999999</v>
      </c>
      <c r="F33" s="3">
        <v>21254.799999999999</v>
      </c>
      <c r="G33" s="3">
        <v>8208.7999999999993</v>
      </c>
      <c r="H33" s="3">
        <v>24612.400000000001</v>
      </c>
      <c r="I33" s="3">
        <v>24083</v>
      </c>
      <c r="J33" s="3">
        <v>0.2</v>
      </c>
    </row>
    <row r="36" spans="3:10" x14ac:dyDescent="0.15">
      <c r="C36" t="s">
        <v>73</v>
      </c>
      <c r="D36" t="s">
        <v>8</v>
      </c>
      <c r="E36" t="s">
        <v>9</v>
      </c>
      <c r="F36" t="s">
        <v>10</v>
      </c>
      <c r="G36" t="s">
        <v>11</v>
      </c>
      <c r="H36" t="s">
        <v>12</v>
      </c>
      <c r="I36" t="s">
        <v>13</v>
      </c>
      <c r="J36" t="s">
        <v>14</v>
      </c>
    </row>
    <row r="37" spans="3:10" ht="15.75" x14ac:dyDescent="0.15">
      <c r="D37" t="s">
        <v>15</v>
      </c>
      <c r="E37" s="3">
        <f>-E31</f>
        <v>0</v>
      </c>
      <c r="F37" s="3">
        <f>F31</f>
        <v>0</v>
      </c>
      <c r="G37" s="3">
        <f>-G31</f>
        <v>-10481.4</v>
      </c>
      <c r="H37" s="3">
        <f t="shared" ref="H37:J37" si="3">H31</f>
        <v>0</v>
      </c>
      <c r="I37" s="3">
        <f t="shared" si="3"/>
        <v>0</v>
      </c>
      <c r="J37" s="3">
        <f t="shared" si="3"/>
        <v>0</v>
      </c>
    </row>
    <row r="38" spans="3:10" ht="15.75" x14ac:dyDescent="0.15">
      <c r="D38" t="s">
        <v>16</v>
      </c>
      <c r="E38" s="3" t="str">
        <f t="shared" ref="E38:J39" si="4">"±"&amp;E32</f>
        <v>±3895.4</v>
      </c>
      <c r="F38" s="3" t="str">
        <f t="shared" si="4"/>
        <v>±4151.5</v>
      </c>
      <c r="G38" s="3" t="str">
        <f t="shared" si="4"/>
        <v>±4945.9</v>
      </c>
      <c r="H38" s="3" t="str">
        <f t="shared" si="4"/>
        <v>±4783.6</v>
      </c>
      <c r="I38" s="3" t="str">
        <f t="shared" si="4"/>
        <v>±4694.3</v>
      </c>
      <c r="J38" s="3" t="str">
        <f t="shared" si="4"/>
        <v>±0</v>
      </c>
    </row>
    <row r="39" spans="3:10" ht="15.75" x14ac:dyDescent="0.15">
      <c r="D39" t="s">
        <v>17</v>
      </c>
      <c r="E39" s="3" t="str">
        <f t="shared" si="4"/>
        <v>±18960.1</v>
      </c>
      <c r="F39" s="3" t="str">
        <f t="shared" si="4"/>
        <v>±21254.8</v>
      </c>
      <c r="G39" s="3" t="str">
        <f t="shared" si="4"/>
        <v>±8208.8</v>
      </c>
      <c r="H39" s="3" t="str">
        <f t="shared" si="4"/>
        <v>±24612.4</v>
      </c>
      <c r="I39" s="3" t="str">
        <f t="shared" si="4"/>
        <v>±24083</v>
      </c>
      <c r="J39" s="3" t="str">
        <f t="shared" si="4"/>
        <v>±0.2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G14" sqref="G14"/>
    </sheetView>
  </sheetViews>
  <sheetFormatPr defaultRowHeight="13.5" x14ac:dyDescent="0.15"/>
  <cols>
    <col min="4" max="4" width="13.375" customWidth="1"/>
    <col min="5" max="5" width="9.5" bestFit="1" customWidth="1"/>
    <col min="8" max="8" width="11.375" customWidth="1"/>
    <col min="14" max="14" width="9.5" bestFit="1" customWidth="1"/>
    <col min="17" max="17" width="10.25" customWidth="1"/>
    <col min="261" max="261" width="9.5" bestFit="1" customWidth="1"/>
    <col min="264" max="264" width="9.5" bestFit="1" customWidth="1"/>
    <col min="270" max="270" width="9.5" bestFit="1" customWidth="1"/>
    <col min="517" max="517" width="9.5" bestFit="1" customWidth="1"/>
    <col min="520" max="520" width="9.5" bestFit="1" customWidth="1"/>
    <col min="526" max="526" width="9.5" bestFit="1" customWidth="1"/>
    <col min="773" max="773" width="9.5" bestFit="1" customWidth="1"/>
    <col min="776" max="776" width="9.5" bestFit="1" customWidth="1"/>
    <col min="782" max="782" width="9.5" bestFit="1" customWidth="1"/>
    <col min="1029" max="1029" width="9.5" bestFit="1" customWidth="1"/>
    <col min="1032" max="1032" width="9.5" bestFit="1" customWidth="1"/>
    <col min="1038" max="1038" width="9.5" bestFit="1" customWidth="1"/>
    <col min="1285" max="1285" width="9.5" bestFit="1" customWidth="1"/>
    <col min="1288" max="1288" width="9.5" bestFit="1" customWidth="1"/>
    <col min="1294" max="1294" width="9.5" bestFit="1" customWidth="1"/>
    <col min="1541" max="1541" width="9.5" bestFit="1" customWidth="1"/>
    <col min="1544" max="1544" width="9.5" bestFit="1" customWidth="1"/>
    <col min="1550" max="1550" width="9.5" bestFit="1" customWidth="1"/>
    <col min="1797" max="1797" width="9.5" bestFit="1" customWidth="1"/>
    <col min="1800" max="1800" width="9.5" bestFit="1" customWidth="1"/>
    <col min="1806" max="1806" width="9.5" bestFit="1" customWidth="1"/>
    <col min="2053" max="2053" width="9.5" bestFit="1" customWidth="1"/>
    <col min="2056" max="2056" width="9.5" bestFit="1" customWidth="1"/>
    <col min="2062" max="2062" width="9.5" bestFit="1" customWidth="1"/>
    <col min="2309" max="2309" width="9.5" bestFit="1" customWidth="1"/>
    <col min="2312" max="2312" width="9.5" bestFit="1" customWidth="1"/>
    <col min="2318" max="2318" width="9.5" bestFit="1" customWidth="1"/>
    <col min="2565" max="2565" width="9.5" bestFit="1" customWidth="1"/>
    <col min="2568" max="2568" width="9.5" bestFit="1" customWidth="1"/>
    <col min="2574" max="2574" width="9.5" bestFit="1" customWidth="1"/>
    <col min="2821" max="2821" width="9.5" bestFit="1" customWidth="1"/>
    <col min="2824" max="2824" width="9.5" bestFit="1" customWidth="1"/>
    <col min="2830" max="2830" width="9.5" bestFit="1" customWidth="1"/>
    <col min="3077" max="3077" width="9.5" bestFit="1" customWidth="1"/>
    <col min="3080" max="3080" width="9.5" bestFit="1" customWidth="1"/>
    <col min="3086" max="3086" width="9.5" bestFit="1" customWidth="1"/>
    <col min="3333" max="3333" width="9.5" bestFit="1" customWidth="1"/>
    <col min="3336" max="3336" width="9.5" bestFit="1" customWidth="1"/>
    <col min="3342" max="3342" width="9.5" bestFit="1" customWidth="1"/>
    <col min="3589" max="3589" width="9.5" bestFit="1" customWidth="1"/>
    <col min="3592" max="3592" width="9.5" bestFit="1" customWidth="1"/>
    <col min="3598" max="3598" width="9.5" bestFit="1" customWidth="1"/>
    <col min="3845" max="3845" width="9.5" bestFit="1" customWidth="1"/>
    <col min="3848" max="3848" width="9.5" bestFit="1" customWidth="1"/>
    <col min="3854" max="3854" width="9.5" bestFit="1" customWidth="1"/>
    <col min="4101" max="4101" width="9.5" bestFit="1" customWidth="1"/>
    <col min="4104" max="4104" width="9.5" bestFit="1" customWidth="1"/>
    <col min="4110" max="4110" width="9.5" bestFit="1" customWidth="1"/>
    <col min="4357" max="4357" width="9.5" bestFit="1" customWidth="1"/>
    <col min="4360" max="4360" width="9.5" bestFit="1" customWidth="1"/>
    <col min="4366" max="4366" width="9.5" bestFit="1" customWidth="1"/>
    <col min="4613" max="4613" width="9.5" bestFit="1" customWidth="1"/>
    <col min="4616" max="4616" width="9.5" bestFit="1" customWidth="1"/>
    <col min="4622" max="4622" width="9.5" bestFit="1" customWidth="1"/>
    <col min="4869" max="4869" width="9.5" bestFit="1" customWidth="1"/>
    <col min="4872" max="4872" width="9.5" bestFit="1" customWidth="1"/>
    <col min="4878" max="4878" width="9.5" bestFit="1" customWidth="1"/>
    <col min="5125" max="5125" width="9.5" bestFit="1" customWidth="1"/>
    <col min="5128" max="5128" width="9.5" bestFit="1" customWidth="1"/>
    <col min="5134" max="5134" width="9.5" bestFit="1" customWidth="1"/>
    <col min="5381" max="5381" width="9.5" bestFit="1" customWidth="1"/>
    <col min="5384" max="5384" width="9.5" bestFit="1" customWidth="1"/>
    <col min="5390" max="5390" width="9.5" bestFit="1" customWidth="1"/>
    <col min="5637" max="5637" width="9.5" bestFit="1" customWidth="1"/>
    <col min="5640" max="5640" width="9.5" bestFit="1" customWidth="1"/>
    <col min="5646" max="5646" width="9.5" bestFit="1" customWidth="1"/>
    <col min="5893" max="5893" width="9.5" bestFit="1" customWidth="1"/>
    <col min="5896" max="5896" width="9.5" bestFit="1" customWidth="1"/>
    <col min="5902" max="5902" width="9.5" bestFit="1" customWidth="1"/>
    <col min="6149" max="6149" width="9.5" bestFit="1" customWidth="1"/>
    <col min="6152" max="6152" width="9.5" bestFit="1" customWidth="1"/>
    <col min="6158" max="6158" width="9.5" bestFit="1" customWidth="1"/>
    <col min="6405" max="6405" width="9.5" bestFit="1" customWidth="1"/>
    <col min="6408" max="6408" width="9.5" bestFit="1" customWidth="1"/>
    <col min="6414" max="6414" width="9.5" bestFit="1" customWidth="1"/>
    <col min="6661" max="6661" width="9.5" bestFit="1" customWidth="1"/>
    <col min="6664" max="6664" width="9.5" bestFit="1" customWidth="1"/>
    <col min="6670" max="6670" width="9.5" bestFit="1" customWidth="1"/>
    <col min="6917" max="6917" width="9.5" bestFit="1" customWidth="1"/>
    <col min="6920" max="6920" width="9.5" bestFit="1" customWidth="1"/>
    <col min="6926" max="6926" width="9.5" bestFit="1" customWidth="1"/>
    <col min="7173" max="7173" width="9.5" bestFit="1" customWidth="1"/>
    <col min="7176" max="7176" width="9.5" bestFit="1" customWidth="1"/>
    <col min="7182" max="7182" width="9.5" bestFit="1" customWidth="1"/>
    <col min="7429" max="7429" width="9.5" bestFit="1" customWidth="1"/>
    <col min="7432" max="7432" width="9.5" bestFit="1" customWidth="1"/>
    <col min="7438" max="7438" width="9.5" bestFit="1" customWidth="1"/>
    <col min="7685" max="7685" width="9.5" bestFit="1" customWidth="1"/>
    <col min="7688" max="7688" width="9.5" bestFit="1" customWidth="1"/>
    <col min="7694" max="7694" width="9.5" bestFit="1" customWidth="1"/>
    <col min="7941" max="7941" width="9.5" bestFit="1" customWidth="1"/>
    <col min="7944" max="7944" width="9.5" bestFit="1" customWidth="1"/>
    <col min="7950" max="7950" width="9.5" bestFit="1" customWidth="1"/>
    <col min="8197" max="8197" width="9.5" bestFit="1" customWidth="1"/>
    <col min="8200" max="8200" width="9.5" bestFit="1" customWidth="1"/>
    <col min="8206" max="8206" width="9.5" bestFit="1" customWidth="1"/>
    <col min="8453" max="8453" width="9.5" bestFit="1" customWidth="1"/>
    <col min="8456" max="8456" width="9.5" bestFit="1" customWidth="1"/>
    <col min="8462" max="8462" width="9.5" bestFit="1" customWidth="1"/>
    <col min="8709" max="8709" width="9.5" bestFit="1" customWidth="1"/>
    <col min="8712" max="8712" width="9.5" bestFit="1" customWidth="1"/>
    <col min="8718" max="8718" width="9.5" bestFit="1" customWidth="1"/>
    <col min="8965" max="8965" width="9.5" bestFit="1" customWidth="1"/>
    <col min="8968" max="8968" width="9.5" bestFit="1" customWidth="1"/>
    <col min="8974" max="8974" width="9.5" bestFit="1" customWidth="1"/>
    <col min="9221" max="9221" width="9.5" bestFit="1" customWidth="1"/>
    <col min="9224" max="9224" width="9.5" bestFit="1" customWidth="1"/>
    <col min="9230" max="9230" width="9.5" bestFit="1" customWidth="1"/>
    <col min="9477" max="9477" width="9.5" bestFit="1" customWidth="1"/>
    <col min="9480" max="9480" width="9.5" bestFit="1" customWidth="1"/>
    <col min="9486" max="9486" width="9.5" bestFit="1" customWidth="1"/>
    <col min="9733" max="9733" width="9.5" bestFit="1" customWidth="1"/>
    <col min="9736" max="9736" width="9.5" bestFit="1" customWidth="1"/>
    <col min="9742" max="9742" width="9.5" bestFit="1" customWidth="1"/>
    <col min="9989" max="9989" width="9.5" bestFit="1" customWidth="1"/>
    <col min="9992" max="9992" width="9.5" bestFit="1" customWidth="1"/>
    <col min="9998" max="9998" width="9.5" bestFit="1" customWidth="1"/>
    <col min="10245" max="10245" width="9.5" bestFit="1" customWidth="1"/>
    <col min="10248" max="10248" width="9.5" bestFit="1" customWidth="1"/>
    <col min="10254" max="10254" width="9.5" bestFit="1" customWidth="1"/>
    <col min="10501" max="10501" width="9.5" bestFit="1" customWidth="1"/>
    <col min="10504" max="10504" width="9.5" bestFit="1" customWidth="1"/>
    <col min="10510" max="10510" width="9.5" bestFit="1" customWidth="1"/>
    <col min="10757" max="10757" width="9.5" bestFit="1" customWidth="1"/>
    <col min="10760" max="10760" width="9.5" bestFit="1" customWidth="1"/>
    <col min="10766" max="10766" width="9.5" bestFit="1" customWidth="1"/>
    <col min="11013" max="11013" width="9.5" bestFit="1" customWidth="1"/>
    <col min="11016" max="11016" width="9.5" bestFit="1" customWidth="1"/>
    <col min="11022" max="11022" width="9.5" bestFit="1" customWidth="1"/>
    <col min="11269" max="11269" width="9.5" bestFit="1" customWidth="1"/>
    <col min="11272" max="11272" width="9.5" bestFit="1" customWidth="1"/>
    <col min="11278" max="11278" width="9.5" bestFit="1" customWidth="1"/>
    <col min="11525" max="11525" width="9.5" bestFit="1" customWidth="1"/>
    <col min="11528" max="11528" width="9.5" bestFit="1" customWidth="1"/>
    <col min="11534" max="11534" width="9.5" bestFit="1" customWidth="1"/>
    <col min="11781" max="11781" width="9.5" bestFit="1" customWidth="1"/>
    <col min="11784" max="11784" width="9.5" bestFit="1" customWidth="1"/>
    <col min="11790" max="11790" width="9.5" bestFit="1" customWidth="1"/>
    <col min="12037" max="12037" width="9.5" bestFit="1" customWidth="1"/>
    <col min="12040" max="12040" width="9.5" bestFit="1" customWidth="1"/>
    <col min="12046" max="12046" width="9.5" bestFit="1" customWidth="1"/>
    <col min="12293" max="12293" width="9.5" bestFit="1" customWidth="1"/>
    <col min="12296" max="12296" width="9.5" bestFit="1" customWidth="1"/>
    <col min="12302" max="12302" width="9.5" bestFit="1" customWidth="1"/>
    <col min="12549" max="12549" width="9.5" bestFit="1" customWidth="1"/>
    <col min="12552" max="12552" width="9.5" bestFit="1" customWidth="1"/>
    <col min="12558" max="12558" width="9.5" bestFit="1" customWidth="1"/>
    <col min="12805" max="12805" width="9.5" bestFit="1" customWidth="1"/>
    <col min="12808" max="12808" width="9.5" bestFit="1" customWidth="1"/>
    <col min="12814" max="12814" width="9.5" bestFit="1" customWidth="1"/>
    <col min="13061" max="13061" width="9.5" bestFit="1" customWidth="1"/>
    <col min="13064" max="13064" width="9.5" bestFit="1" customWidth="1"/>
    <col min="13070" max="13070" width="9.5" bestFit="1" customWidth="1"/>
    <col min="13317" max="13317" width="9.5" bestFit="1" customWidth="1"/>
    <col min="13320" max="13320" width="9.5" bestFit="1" customWidth="1"/>
    <col min="13326" max="13326" width="9.5" bestFit="1" customWidth="1"/>
    <col min="13573" max="13573" width="9.5" bestFit="1" customWidth="1"/>
    <col min="13576" max="13576" width="9.5" bestFit="1" customWidth="1"/>
    <col min="13582" max="13582" width="9.5" bestFit="1" customWidth="1"/>
    <col min="13829" max="13829" width="9.5" bestFit="1" customWidth="1"/>
    <col min="13832" max="13832" width="9.5" bestFit="1" customWidth="1"/>
    <col min="13838" max="13838" width="9.5" bestFit="1" customWidth="1"/>
    <col min="14085" max="14085" width="9.5" bestFit="1" customWidth="1"/>
    <col min="14088" max="14088" width="9.5" bestFit="1" customWidth="1"/>
    <col min="14094" max="14094" width="9.5" bestFit="1" customWidth="1"/>
    <col min="14341" max="14341" width="9.5" bestFit="1" customWidth="1"/>
    <col min="14344" max="14344" width="9.5" bestFit="1" customWidth="1"/>
    <col min="14350" max="14350" width="9.5" bestFit="1" customWidth="1"/>
    <col min="14597" max="14597" width="9.5" bestFit="1" customWidth="1"/>
    <col min="14600" max="14600" width="9.5" bestFit="1" customWidth="1"/>
    <col min="14606" max="14606" width="9.5" bestFit="1" customWidth="1"/>
    <col min="14853" max="14853" width="9.5" bestFit="1" customWidth="1"/>
    <col min="14856" max="14856" width="9.5" bestFit="1" customWidth="1"/>
    <col min="14862" max="14862" width="9.5" bestFit="1" customWidth="1"/>
    <col min="15109" max="15109" width="9.5" bestFit="1" customWidth="1"/>
    <col min="15112" max="15112" width="9.5" bestFit="1" customWidth="1"/>
    <col min="15118" max="15118" width="9.5" bestFit="1" customWidth="1"/>
    <col min="15365" max="15365" width="9.5" bestFit="1" customWidth="1"/>
    <col min="15368" max="15368" width="9.5" bestFit="1" customWidth="1"/>
    <col min="15374" max="15374" width="9.5" bestFit="1" customWidth="1"/>
    <col min="15621" max="15621" width="9.5" bestFit="1" customWidth="1"/>
    <col min="15624" max="15624" width="9.5" bestFit="1" customWidth="1"/>
    <col min="15630" max="15630" width="9.5" bestFit="1" customWidth="1"/>
    <col min="15877" max="15877" width="9.5" bestFit="1" customWidth="1"/>
    <col min="15880" max="15880" width="9.5" bestFit="1" customWidth="1"/>
    <col min="15886" max="15886" width="9.5" bestFit="1" customWidth="1"/>
    <col min="16133" max="16133" width="9.5" bestFit="1" customWidth="1"/>
    <col min="16136" max="16136" width="9.5" bestFit="1" customWidth="1"/>
    <col min="16142" max="16142" width="9.5" bestFit="1" customWidth="1"/>
  </cols>
  <sheetData>
    <row r="1" spans="1:19" x14ac:dyDescent="0.15">
      <c r="C1" s="86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L1" s="86"/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 x14ac:dyDescent="0.15">
      <c r="E2">
        <v>524.70000000000005</v>
      </c>
      <c r="F2">
        <v>519.4</v>
      </c>
      <c r="G2">
        <v>3635.9</v>
      </c>
      <c r="H2" s="2">
        <v>0</v>
      </c>
      <c r="I2">
        <v>0.3</v>
      </c>
      <c r="J2">
        <v>1</v>
      </c>
      <c r="Q2" s="2"/>
    </row>
    <row r="3" spans="1:19" x14ac:dyDescent="0.15">
      <c r="E3" s="2">
        <v>1159.3</v>
      </c>
      <c r="F3">
        <v>1150.7</v>
      </c>
      <c r="G3">
        <v>3211.4</v>
      </c>
      <c r="H3" s="2">
        <v>0</v>
      </c>
      <c r="I3">
        <v>0.5</v>
      </c>
      <c r="J3" s="2">
        <v>2.1</v>
      </c>
      <c r="N3" s="2"/>
      <c r="Q3" s="2"/>
      <c r="S3" s="2"/>
    </row>
    <row r="4" spans="1:19" x14ac:dyDescent="0.15">
      <c r="H4" s="2"/>
      <c r="Q4" s="2"/>
    </row>
    <row r="5" spans="1:19" x14ac:dyDescent="0.15">
      <c r="D5" s="1" t="s">
        <v>18</v>
      </c>
      <c r="E5" s="1">
        <f>E2</f>
        <v>524.70000000000005</v>
      </c>
      <c r="F5" s="1">
        <f t="shared" ref="F5:J5" si="0">F2</f>
        <v>519.4</v>
      </c>
      <c r="G5" s="1">
        <f t="shared" si="0"/>
        <v>3635.9</v>
      </c>
      <c r="H5" s="1">
        <f t="shared" si="0"/>
        <v>0</v>
      </c>
      <c r="I5" s="1">
        <f t="shared" si="0"/>
        <v>0.3</v>
      </c>
      <c r="J5" s="1">
        <f t="shared" si="0"/>
        <v>1</v>
      </c>
      <c r="K5" s="1"/>
      <c r="L5" s="1"/>
      <c r="M5" s="1" t="s">
        <v>18</v>
      </c>
      <c r="N5" s="87">
        <f>E3</f>
        <v>1159.3</v>
      </c>
      <c r="O5" s="87">
        <f t="shared" ref="O5:S5" si="1">F3</f>
        <v>1150.7</v>
      </c>
      <c r="P5" s="87">
        <f t="shared" si="1"/>
        <v>3211.4</v>
      </c>
      <c r="Q5" s="87">
        <f t="shared" si="1"/>
        <v>0</v>
      </c>
      <c r="R5" s="87">
        <f t="shared" si="1"/>
        <v>0.5</v>
      </c>
      <c r="S5" s="87">
        <f t="shared" si="1"/>
        <v>2.1</v>
      </c>
    </row>
    <row r="6" spans="1:19" x14ac:dyDescent="0.15">
      <c r="D6" s="4"/>
      <c r="E6" s="4">
        <f t="shared" ref="E6:J6" si="2">ABS(E5)</f>
        <v>524.70000000000005</v>
      </c>
      <c r="F6" s="4">
        <f t="shared" si="2"/>
        <v>519.4</v>
      </c>
      <c r="G6" s="4">
        <f t="shared" si="2"/>
        <v>3635.9</v>
      </c>
      <c r="H6" s="4">
        <f t="shared" si="2"/>
        <v>0</v>
      </c>
      <c r="I6" s="4">
        <f t="shared" si="2"/>
        <v>0.3</v>
      </c>
      <c r="J6" s="4">
        <f t="shared" si="2"/>
        <v>1</v>
      </c>
      <c r="K6" s="4"/>
      <c r="L6" s="4"/>
      <c r="M6" s="4"/>
      <c r="N6" s="4">
        <f t="shared" ref="N6:S6" si="3">ABS(N5)</f>
        <v>1159.3</v>
      </c>
      <c r="O6" s="4">
        <f t="shared" si="3"/>
        <v>1150.7</v>
      </c>
      <c r="P6" s="4">
        <f t="shared" si="3"/>
        <v>3211.4</v>
      </c>
      <c r="Q6" s="4">
        <f t="shared" si="3"/>
        <v>0</v>
      </c>
      <c r="R6" s="4">
        <f t="shared" si="3"/>
        <v>0.5</v>
      </c>
      <c r="S6" s="4">
        <f t="shared" si="3"/>
        <v>2.1</v>
      </c>
    </row>
    <row r="7" spans="1:19" x14ac:dyDescent="0.15">
      <c r="A7" t="s">
        <v>70</v>
      </c>
      <c r="D7" t="s">
        <v>19</v>
      </c>
      <c r="E7" s="2">
        <v>8.4300000000000003E-5</v>
      </c>
      <c r="M7" t="s">
        <v>19</v>
      </c>
      <c r="N7" s="2">
        <v>8.4300000000000003E-5</v>
      </c>
    </row>
    <row r="8" spans="1:19" x14ac:dyDescent="0.15">
      <c r="D8" t="s">
        <v>20</v>
      </c>
      <c r="E8">
        <v>0.441</v>
      </c>
      <c r="F8">
        <v>2</v>
      </c>
      <c r="M8" t="s">
        <v>20</v>
      </c>
      <c r="N8">
        <v>0.441</v>
      </c>
      <c r="O8">
        <v>2</v>
      </c>
    </row>
    <row r="9" spans="1:19" x14ac:dyDescent="0.15">
      <c r="D9" t="s">
        <v>21</v>
      </c>
      <c r="E9">
        <f>SQRT(E6^2+F6^2)/2+J6/E8</f>
        <v>371.41742470518994</v>
      </c>
      <c r="M9" t="s">
        <v>21</v>
      </c>
      <c r="N9">
        <f>SQRT(N6^2+O6^2)/2+S6/N8</f>
        <v>821.4758969280731</v>
      </c>
    </row>
    <row r="10" spans="1:19" x14ac:dyDescent="0.15">
      <c r="D10" t="s">
        <v>22</v>
      </c>
      <c r="E10">
        <f>G6/2+I6/E8</f>
        <v>1818.6302721088437</v>
      </c>
      <c r="M10" t="s">
        <v>22</v>
      </c>
      <c r="N10">
        <f>P6/2+R6/N8</f>
        <v>1606.8337868480726</v>
      </c>
    </row>
    <row r="11" spans="1:19" x14ac:dyDescent="0.15">
      <c r="D11" t="s">
        <v>23</v>
      </c>
      <c r="E11" s="5">
        <f>E9/E7/(1000000)/0.9</f>
        <v>4.8954451654829301</v>
      </c>
      <c r="M11" t="s">
        <v>23</v>
      </c>
      <c r="N11" s="5">
        <f>N9/N7/(1000000)/0.9</f>
        <v>10.827413957138171</v>
      </c>
    </row>
    <row r="12" spans="1:19" x14ac:dyDescent="0.15">
      <c r="D12" t="s">
        <v>24</v>
      </c>
      <c r="E12" s="5">
        <f>E10/E7/(1000000)</f>
        <v>21.57331283640384</v>
      </c>
      <c r="M12" t="s">
        <v>24</v>
      </c>
      <c r="N12" s="5">
        <f>N10/N7/(1000000)</f>
        <v>19.06089901361889</v>
      </c>
    </row>
    <row r="13" spans="1:19" x14ac:dyDescent="0.15">
      <c r="D13" t="s">
        <v>25</v>
      </c>
      <c r="E13">
        <v>100</v>
      </c>
      <c r="M13" t="s">
        <v>25</v>
      </c>
      <c r="N13">
        <v>100</v>
      </c>
    </row>
    <row r="14" spans="1:19" x14ac:dyDescent="0.15">
      <c r="D14" t="s">
        <v>26</v>
      </c>
      <c r="E14">
        <v>240</v>
      </c>
      <c r="M14" t="s">
        <v>26</v>
      </c>
      <c r="N14">
        <v>240</v>
      </c>
    </row>
    <row r="15" spans="1:19" x14ac:dyDescent="0.15">
      <c r="D15" t="s">
        <v>27</v>
      </c>
      <c r="E15">
        <f>E11^2/E13^2+E12^2/E14^2</f>
        <v>1.0476535328792844E-2</v>
      </c>
      <c r="M15" t="s">
        <v>27</v>
      </c>
      <c r="N15">
        <f>N11^2/N13^2+N12^2/N14^2</f>
        <v>1.8030891230606687E-2</v>
      </c>
    </row>
    <row r="17" spans="4:18" ht="15.75" x14ac:dyDescent="0.15">
      <c r="D17" t="s">
        <v>28</v>
      </c>
      <c r="E17" s="6">
        <f>E6</f>
        <v>524.70000000000005</v>
      </c>
      <c r="F17" s="6">
        <f>F6</f>
        <v>519.4</v>
      </c>
      <c r="G17" s="6">
        <f>G6</f>
        <v>3635.9</v>
      </c>
      <c r="H17" s="6">
        <f>I6</f>
        <v>0.3</v>
      </c>
      <c r="I17" s="6">
        <f>J6</f>
        <v>1</v>
      </c>
      <c r="M17" t="s">
        <v>29</v>
      </c>
      <c r="N17" s="4">
        <f>N6</f>
        <v>1159.3</v>
      </c>
      <c r="O17" s="4">
        <f>O6</f>
        <v>1150.7</v>
      </c>
      <c r="P17" s="4">
        <f>P6</f>
        <v>3211.4</v>
      </c>
      <c r="Q17" s="4">
        <f>R6</f>
        <v>0.5</v>
      </c>
      <c r="R17" s="4">
        <f>S6</f>
        <v>2.1</v>
      </c>
    </row>
    <row r="18" spans="4:18" ht="15.75" x14ac:dyDescent="0.15">
      <c r="D18" t="s">
        <v>29</v>
      </c>
      <c r="E18" s="6">
        <f>N6</f>
        <v>1159.3</v>
      </c>
      <c r="F18" s="6">
        <f>O6</f>
        <v>1150.7</v>
      </c>
      <c r="G18" s="6">
        <f>P6</f>
        <v>3211.4</v>
      </c>
      <c r="H18" s="6">
        <f>R6</f>
        <v>0.5</v>
      </c>
      <c r="I18" s="6">
        <f>S6</f>
        <v>2.1</v>
      </c>
    </row>
    <row r="19" spans="4:18" s="5" customFormat="1" ht="15.75" x14ac:dyDescent="0.15">
      <c r="D19" s="5" t="s">
        <v>30</v>
      </c>
      <c r="E19" s="7">
        <f>E11</f>
        <v>4.8954451654829301</v>
      </c>
      <c r="F19" s="7">
        <v>100</v>
      </c>
      <c r="G19" s="7">
        <f>E12</f>
        <v>21.57331283640384</v>
      </c>
      <c r="H19" s="7">
        <v>240</v>
      </c>
      <c r="I19" s="7">
        <f>E15</f>
        <v>1.0476535328792844E-2</v>
      </c>
      <c r="M19" s="5" t="s">
        <v>31</v>
      </c>
      <c r="N19" s="5">
        <f>N11</f>
        <v>10.827413957138171</v>
      </c>
      <c r="O19" s="5">
        <f>N13</f>
        <v>100</v>
      </c>
      <c r="P19" s="5">
        <f>N12</f>
        <v>19.06089901361889</v>
      </c>
      <c r="Q19" s="5">
        <f>N14</f>
        <v>240</v>
      </c>
      <c r="R19" s="5">
        <f>N15</f>
        <v>1.8030891230606687E-2</v>
      </c>
    </row>
    <row r="20" spans="4:18" ht="15.75" x14ac:dyDescent="0.15">
      <c r="D20" s="5" t="s">
        <v>31</v>
      </c>
      <c r="E20" s="7">
        <f>N11</f>
        <v>10.827413957138171</v>
      </c>
      <c r="F20" s="7">
        <v>100</v>
      </c>
      <c r="G20" s="7">
        <f>N12</f>
        <v>19.06089901361889</v>
      </c>
      <c r="H20" s="7">
        <v>240</v>
      </c>
      <c r="I20" s="7">
        <f>N15</f>
        <v>1.8030891230606687E-2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I18" sqref="I18"/>
    </sheetView>
  </sheetViews>
  <sheetFormatPr defaultRowHeight="13.5" x14ac:dyDescent="0.15"/>
  <cols>
    <col min="4" max="4" width="13.375" customWidth="1"/>
    <col min="5" max="5" width="9.5" bestFit="1" customWidth="1"/>
    <col min="8" max="8" width="11.375" customWidth="1"/>
    <col min="14" max="14" width="9.5" bestFit="1" customWidth="1"/>
    <col min="17" max="17" width="10.25" customWidth="1"/>
    <col min="261" max="261" width="9.5" bestFit="1" customWidth="1"/>
    <col min="264" max="264" width="9.5" bestFit="1" customWidth="1"/>
    <col min="270" max="270" width="9.5" bestFit="1" customWidth="1"/>
    <col min="517" max="517" width="9.5" bestFit="1" customWidth="1"/>
    <col min="520" max="520" width="9.5" bestFit="1" customWidth="1"/>
    <col min="526" max="526" width="9.5" bestFit="1" customWidth="1"/>
    <col min="773" max="773" width="9.5" bestFit="1" customWidth="1"/>
    <col min="776" max="776" width="9.5" bestFit="1" customWidth="1"/>
    <col min="782" max="782" width="9.5" bestFit="1" customWidth="1"/>
    <col min="1029" max="1029" width="9.5" bestFit="1" customWidth="1"/>
    <col min="1032" max="1032" width="9.5" bestFit="1" customWidth="1"/>
    <col min="1038" max="1038" width="9.5" bestFit="1" customWidth="1"/>
    <col min="1285" max="1285" width="9.5" bestFit="1" customWidth="1"/>
    <col min="1288" max="1288" width="9.5" bestFit="1" customWidth="1"/>
    <col min="1294" max="1294" width="9.5" bestFit="1" customWidth="1"/>
    <col min="1541" max="1541" width="9.5" bestFit="1" customWidth="1"/>
    <col min="1544" max="1544" width="9.5" bestFit="1" customWidth="1"/>
    <col min="1550" max="1550" width="9.5" bestFit="1" customWidth="1"/>
    <col min="1797" max="1797" width="9.5" bestFit="1" customWidth="1"/>
    <col min="1800" max="1800" width="9.5" bestFit="1" customWidth="1"/>
    <col min="1806" max="1806" width="9.5" bestFit="1" customWidth="1"/>
    <col min="2053" max="2053" width="9.5" bestFit="1" customWidth="1"/>
    <col min="2056" max="2056" width="9.5" bestFit="1" customWidth="1"/>
    <col min="2062" max="2062" width="9.5" bestFit="1" customWidth="1"/>
    <col min="2309" max="2309" width="9.5" bestFit="1" customWidth="1"/>
    <col min="2312" max="2312" width="9.5" bestFit="1" customWidth="1"/>
    <col min="2318" max="2318" width="9.5" bestFit="1" customWidth="1"/>
    <col min="2565" max="2565" width="9.5" bestFit="1" customWidth="1"/>
    <col min="2568" max="2568" width="9.5" bestFit="1" customWidth="1"/>
    <col min="2574" max="2574" width="9.5" bestFit="1" customWidth="1"/>
    <col min="2821" max="2821" width="9.5" bestFit="1" customWidth="1"/>
    <col min="2824" max="2824" width="9.5" bestFit="1" customWidth="1"/>
    <col min="2830" max="2830" width="9.5" bestFit="1" customWidth="1"/>
    <col min="3077" max="3077" width="9.5" bestFit="1" customWidth="1"/>
    <col min="3080" max="3080" width="9.5" bestFit="1" customWidth="1"/>
    <col min="3086" max="3086" width="9.5" bestFit="1" customWidth="1"/>
    <col min="3333" max="3333" width="9.5" bestFit="1" customWidth="1"/>
    <col min="3336" max="3336" width="9.5" bestFit="1" customWidth="1"/>
    <col min="3342" max="3342" width="9.5" bestFit="1" customWidth="1"/>
    <col min="3589" max="3589" width="9.5" bestFit="1" customWidth="1"/>
    <col min="3592" max="3592" width="9.5" bestFit="1" customWidth="1"/>
    <col min="3598" max="3598" width="9.5" bestFit="1" customWidth="1"/>
    <col min="3845" max="3845" width="9.5" bestFit="1" customWidth="1"/>
    <col min="3848" max="3848" width="9.5" bestFit="1" customWidth="1"/>
    <col min="3854" max="3854" width="9.5" bestFit="1" customWidth="1"/>
    <col min="4101" max="4101" width="9.5" bestFit="1" customWidth="1"/>
    <col min="4104" max="4104" width="9.5" bestFit="1" customWidth="1"/>
    <col min="4110" max="4110" width="9.5" bestFit="1" customWidth="1"/>
    <col min="4357" max="4357" width="9.5" bestFit="1" customWidth="1"/>
    <col min="4360" max="4360" width="9.5" bestFit="1" customWidth="1"/>
    <col min="4366" max="4366" width="9.5" bestFit="1" customWidth="1"/>
    <col min="4613" max="4613" width="9.5" bestFit="1" customWidth="1"/>
    <col min="4616" max="4616" width="9.5" bestFit="1" customWidth="1"/>
    <col min="4622" max="4622" width="9.5" bestFit="1" customWidth="1"/>
    <col min="4869" max="4869" width="9.5" bestFit="1" customWidth="1"/>
    <col min="4872" max="4872" width="9.5" bestFit="1" customWidth="1"/>
    <col min="4878" max="4878" width="9.5" bestFit="1" customWidth="1"/>
    <col min="5125" max="5125" width="9.5" bestFit="1" customWidth="1"/>
    <col min="5128" max="5128" width="9.5" bestFit="1" customWidth="1"/>
    <col min="5134" max="5134" width="9.5" bestFit="1" customWidth="1"/>
    <col min="5381" max="5381" width="9.5" bestFit="1" customWidth="1"/>
    <col min="5384" max="5384" width="9.5" bestFit="1" customWidth="1"/>
    <col min="5390" max="5390" width="9.5" bestFit="1" customWidth="1"/>
    <col min="5637" max="5637" width="9.5" bestFit="1" customWidth="1"/>
    <col min="5640" max="5640" width="9.5" bestFit="1" customWidth="1"/>
    <col min="5646" max="5646" width="9.5" bestFit="1" customWidth="1"/>
    <col min="5893" max="5893" width="9.5" bestFit="1" customWidth="1"/>
    <col min="5896" max="5896" width="9.5" bestFit="1" customWidth="1"/>
    <col min="5902" max="5902" width="9.5" bestFit="1" customWidth="1"/>
    <col min="6149" max="6149" width="9.5" bestFit="1" customWidth="1"/>
    <col min="6152" max="6152" width="9.5" bestFit="1" customWidth="1"/>
    <col min="6158" max="6158" width="9.5" bestFit="1" customWidth="1"/>
    <col min="6405" max="6405" width="9.5" bestFit="1" customWidth="1"/>
    <col min="6408" max="6408" width="9.5" bestFit="1" customWidth="1"/>
    <col min="6414" max="6414" width="9.5" bestFit="1" customWidth="1"/>
    <col min="6661" max="6661" width="9.5" bestFit="1" customWidth="1"/>
    <col min="6664" max="6664" width="9.5" bestFit="1" customWidth="1"/>
    <col min="6670" max="6670" width="9.5" bestFit="1" customWidth="1"/>
    <col min="6917" max="6917" width="9.5" bestFit="1" customWidth="1"/>
    <col min="6920" max="6920" width="9.5" bestFit="1" customWidth="1"/>
    <col min="6926" max="6926" width="9.5" bestFit="1" customWidth="1"/>
    <col min="7173" max="7173" width="9.5" bestFit="1" customWidth="1"/>
    <col min="7176" max="7176" width="9.5" bestFit="1" customWidth="1"/>
    <col min="7182" max="7182" width="9.5" bestFit="1" customWidth="1"/>
    <col min="7429" max="7429" width="9.5" bestFit="1" customWidth="1"/>
    <col min="7432" max="7432" width="9.5" bestFit="1" customWidth="1"/>
    <col min="7438" max="7438" width="9.5" bestFit="1" customWidth="1"/>
    <col min="7685" max="7685" width="9.5" bestFit="1" customWidth="1"/>
    <col min="7688" max="7688" width="9.5" bestFit="1" customWidth="1"/>
    <col min="7694" max="7694" width="9.5" bestFit="1" customWidth="1"/>
    <col min="7941" max="7941" width="9.5" bestFit="1" customWidth="1"/>
    <col min="7944" max="7944" width="9.5" bestFit="1" customWidth="1"/>
    <col min="7950" max="7950" width="9.5" bestFit="1" customWidth="1"/>
    <col min="8197" max="8197" width="9.5" bestFit="1" customWidth="1"/>
    <col min="8200" max="8200" width="9.5" bestFit="1" customWidth="1"/>
    <col min="8206" max="8206" width="9.5" bestFit="1" customWidth="1"/>
    <col min="8453" max="8453" width="9.5" bestFit="1" customWidth="1"/>
    <col min="8456" max="8456" width="9.5" bestFit="1" customWidth="1"/>
    <col min="8462" max="8462" width="9.5" bestFit="1" customWidth="1"/>
    <col min="8709" max="8709" width="9.5" bestFit="1" customWidth="1"/>
    <col min="8712" max="8712" width="9.5" bestFit="1" customWidth="1"/>
    <col min="8718" max="8718" width="9.5" bestFit="1" customWidth="1"/>
    <col min="8965" max="8965" width="9.5" bestFit="1" customWidth="1"/>
    <col min="8968" max="8968" width="9.5" bestFit="1" customWidth="1"/>
    <col min="8974" max="8974" width="9.5" bestFit="1" customWidth="1"/>
    <col min="9221" max="9221" width="9.5" bestFit="1" customWidth="1"/>
    <col min="9224" max="9224" width="9.5" bestFit="1" customWidth="1"/>
    <col min="9230" max="9230" width="9.5" bestFit="1" customWidth="1"/>
    <col min="9477" max="9477" width="9.5" bestFit="1" customWidth="1"/>
    <col min="9480" max="9480" width="9.5" bestFit="1" customWidth="1"/>
    <col min="9486" max="9486" width="9.5" bestFit="1" customWidth="1"/>
    <col min="9733" max="9733" width="9.5" bestFit="1" customWidth="1"/>
    <col min="9736" max="9736" width="9.5" bestFit="1" customWidth="1"/>
    <col min="9742" max="9742" width="9.5" bestFit="1" customWidth="1"/>
    <col min="9989" max="9989" width="9.5" bestFit="1" customWidth="1"/>
    <col min="9992" max="9992" width="9.5" bestFit="1" customWidth="1"/>
    <col min="9998" max="9998" width="9.5" bestFit="1" customWidth="1"/>
    <col min="10245" max="10245" width="9.5" bestFit="1" customWidth="1"/>
    <col min="10248" max="10248" width="9.5" bestFit="1" customWidth="1"/>
    <col min="10254" max="10254" width="9.5" bestFit="1" customWidth="1"/>
    <col min="10501" max="10501" width="9.5" bestFit="1" customWidth="1"/>
    <col min="10504" max="10504" width="9.5" bestFit="1" customWidth="1"/>
    <col min="10510" max="10510" width="9.5" bestFit="1" customWidth="1"/>
    <col min="10757" max="10757" width="9.5" bestFit="1" customWidth="1"/>
    <col min="10760" max="10760" width="9.5" bestFit="1" customWidth="1"/>
    <col min="10766" max="10766" width="9.5" bestFit="1" customWidth="1"/>
    <col min="11013" max="11013" width="9.5" bestFit="1" customWidth="1"/>
    <col min="11016" max="11016" width="9.5" bestFit="1" customWidth="1"/>
    <col min="11022" max="11022" width="9.5" bestFit="1" customWidth="1"/>
    <col min="11269" max="11269" width="9.5" bestFit="1" customWidth="1"/>
    <col min="11272" max="11272" width="9.5" bestFit="1" customWidth="1"/>
    <col min="11278" max="11278" width="9.5" bestFit="1" customWidth="1"/>
    <col min="11525" max="11525" width="9.5" bestFit="1" customWidth="1"/>
    <col min="11528" max="11528" width="9.5" bestFit="1" customWidth="1"/>
    <col min="11534" max="11534" width="9.5" bestFit="1" customWidth="1"/>
    <col min="11781" max="11781" width="9.5" bestFit="1" customWidth="1"/>
    <col min="11784" max="11784" width="9.5" bestFit="1" customWidth="1"/>
    <col min="11790" max="11790" width="9.5" bestFit="1" customWidth="1"/>
    <col min="12037" max="12037" width="9.5" bestFit="1" customWidth="1"/>
    <col min="12040" max="12040" width="9.5" bestFit="1" customWidth="1"/>
    <col min="12046" max="12046" width="9.5" bestFit="1" customWidth="1"/>
    <col min="12293" max="12293" width="9.5" bestFit="1" customWidth="1"/>
    <col min="12296" max="12296" width="9.5" bestFit="1" customWidth="1"/>
    <col min="12302" max="12302" width="9.5" bestFit="1" customWidth="1"/>
    <col min="12549" max="12549" width="9.5" bestFit="1" customWidth="1"/>
    <col min="12552" max="12552" width="9.5" bestFit="1" customWidth="1"/>
    <col min="12558" max="12558" width="9.5" bestFit="1" customWidth="1"/>
    <col min="12805" max="12805" width="9.5" bestFit="1" customWidth="1"/>
    <col min="12808" max="12808" width="9.5" bestFit="1" customWidth="1"/>
    <col min="12814" max="12814" width="9.5" bestFit="1" customWidth="1"/>
    <col min="13061" max="13061" width="9.5" bestFit="1" customWidth="1"/>
    <col min="13064" max="13064" width="9.5" bestFit="1" customWidth="1"/>
    <col min="13070" max="13070" width="9.5" bestFit="1" customWidth="1"/>
    <col min="13317" max="13317" width="9.5" bestFit="1" customWidth="1"/>
    <col min="13320" max="13320" width="9.5" bestFit="1" customWidth="1"/>
    <col min="13326" max="13326" width="9.5" bestFit="1" customWidth="1"/>
    <col min="13573" max="13573" width="9.5" bestFit="1" customWidth="1"/>
    <col min="13576" max="13576" width="9.5" bestFit="1" customWidth="1"/>
    <col min="13582" max="13582" width="9.5" bestFit="1" customWidth="1"/>
    <col min="13829" max="13829" width="9.5" bestFit="1" customWidth="1"/>
    <col min="13832" max="13832" width="9.5" bestFit="1" customWidth="1"/>
    <col min="13838" max="13838" width="9.5" bestFit="1" customWidth="1"/>
    <col min="14085" max="14085" width="9.5" bestFit="1" customWidth="1"/>
    <col min="14088" max="14088" width="9.5" bestFit="1" customWidth="1"/>
    <col min="14094" max="14094" width="9.5" bestFit="1" customWidth="1"/>
    <col min="14341" max="14341" width="9.5" bestFit="1" customWidth="1"/>
    <col min="14344" max="14344" width="9.5" bestFit="1" customWidth="1"/>
    <col min="14350" max="14350" width="9.5" bestFit="1" customWidth="1"/>
    <col min="14597" max="14597" width="9.5" bestFit="1" customWidth="1"/>
    <col min="14600" max="14600" width="9.5" bestFit="1" customWidth="1"/>
    <col min="14606" max="14606" width="9.5" bestFit="1" customWidth="1"/>
    <col min="14853" max="14853" width="9.5" bestFit="1" customWidth="1"/>
    <col min="14856" max="14856" width="9.5" bestFit="1" customWidth="1"/>
    <col min="14862" max="14862" width="9.5" bestFit="1" customWidth="1"/>
    <col min="15109" max="15109" width="9.5" bestFit="1" customWidth="1"/>
    <col min="15112" max="15112" width="9.5" bestFit="1" customWidth="1"/>
    <col min="15118" max="15118" width="9.5" bestFit="1" customWidth="1"/>
    <col min="15365" max="15365" width="9.5" bestFit="1" customWidth="1"/>
    <col min="15368" max="15368" width="9.5" bestFit="1" customWidth="1"/>
    <col min="15374" max="15374" width="9.5" bestFit="1" customWidth="1"/>
    <col min="15621" max="15621" width="9.5" bestFit="1" customWidth="1"/>
    <col min="15624" max="15624" width="9.5" bestFit="1" customWidth="1"/>
    <col min="15630" max="15630" width="9.5" bestFit="1" customWidth="1"/>
    <col min="15877" max="15877" width="9.5" bestFit="1" customWidth="1"/>
    <col min="15880" max="15880" width="9.5" bestFit="1" customWidth="1"/>
    <col min="15886" max="15886" width="9.5" bestFit="1" customWidth="1"/>
    <col min="16133" max="16133" width="9.5" bestFit="1" customWidth="1"/>
    <col min="16136" max="16136" width="9.5" bestFit="1" customWidth="1"/>
    <col min="16142" max="16142" width="9.5" bestFit="1" customWidth="1"/>
  </cols>
  <sheetData>
    <row r="1" spans="1:19" x14ac:dyDescent="0.15">
      <c r="C1" s="86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L1" s="86"/>
    </row>
    <row r="2" spans="1:19" x14ac:dyDescent="0.15">
      <c r="E2">
        <v>1049.9000000000001</v>
      </c>
      <c r="F2">
        <v>1077.3</v>
      </c>
      <c r="G2">
        <v>3886.9</v>
      </c>
      <c r="H2" s="2">
        <v>0</v>
      </c>
      <c r="I2">
        <v>50.3</v>
      </c>
      <c r="J2">
        <v>0.3</v>
      </c>
      <c r="Q2" s="2"/>
    </row>
    <row r="3" spans="1:19" x14ac:dyDescent="0.15">
      <c r="E3" s="2">
        <v>5263.4</v>
      </c>
      <c r="F3">
        <v>5648</v>
      </c>
      <c r="G3">
        <v>5879.2</v>
      </c>
      <c r="H3" s="2">
        <v>0</v>
      </c>
      <c r="I3">
        <v>139</v>
      </c>
      <c r="J3" s="2">
        <v>1.7</v>
      </c>
      <c r="N3" s="2"/>
      <c r="Q3" s="2"/>
      <c r="S3" s="2"/>
    </row>
    <row r="4" spans="1:19" x14ac:dyDescent="0.15">
      <c r="H4" s="2"/>
      <c r="Q4" s="2"/>
    </row>
    <row r="5" spans="1:19" x14ac:dyDescent="0.15">
      <c r="D5" s="1" t="s">
        <v>18</v>
      </c>
      <c r="E5" s="1">
        <f>E2</f>
        <v>1049.9000000000001</v>
      </c>
      <c r="F5" s="1">
        <f t="shared" ref="F5:J5" si="0">F2</f>
        <v>1077.3</v>
      </c>
      <c r="G5" s="1">
        <f t="shared" si="0"/>
        <v>3886.9</v>
      </c>
      <c r="H5" s="1">
        <f t="shared" si="0"/>
        <v>0</v>
      </c>
      <c r="I5" s="1">
        <f t="shared" si="0"/>
        <v>50.3</v>
      </c>
      <c r="J5" s="1">
        <f t="shared" si="0"/>
        <v>0.3</v>
      </c>
      <c r="K5" s="1"/>
      <c r="L5" s="1"/>
      <c r="M5" s="1" t="s">
        <v>18</v>
      </c>
      <c r="N5" s="87">
        <f>E3</f>
        <v>5263.4</v>
      </c>
      <c r="O5" s="87">
        <f t="shared" ref="O5:S5" si="1">F3</f>
        <v>5648</v>
      </c>
      <c r="P5" s="87">
        <f t="shared" si="1"/>
        <v>5879.2</v>
      </c>
      <c r="Q5" s="87">
        <f t="shared" si="1"/>
        <v>0</v>
      </c>
      <c r="R5" s="87">
        <f t="shared" si="1"/>
        <v>139</v>
      </c>
      <c r="S5" s="87">
        <f t="shared" si="1"/>
        <v>1.7</v>
      </c>
    </row>
    <row r="6" spans="1:19" x14ac:dyDescent="0.15">
      <c r="D6" s="4"/>
      <c r="E6" s="4">
        <f t="shared" ref="E6:J6" si="2">ABS(E5)</f>
        <v>1049.9000000000001</v>
      </c>
      <c r="F6" s="4">
        <f t="shared" si="2"/>
        <v>1077.3</v>
      </c>
      <c r="G6" s="4">
        <f t="shared" si="2"/>
        <v>3886.9</v>
      </c>
      <c r="H6" s="4">
        <f t="shared" si="2"/>
        <v>0</v>
      </c>
      <c r="I6" s="4">
        <f t="shared" si="2"/>
        <v>50.3</v>
      </c>
      <c r="J6" s="4">
        <f t="shared" si="2"/>
        <v>0.3</v>
      </c>
      <c r="K6" s="4"/>
      <c r="L6" s="4"/>
      <c r="M6" s="4"/>
      <c r="N6" s="4">
        <f t="shared" ref="N6:S6" si="3">ABS(N5)</f>
        <v>5263.4</v>
      </c>
      <c r="O6" s="4">
        <f t="shared" si="3"/>
        <v>5648</v>
      </c>
      <c r="P6" s="4">
        <f t="shared" si="3"/>
        <v>5879.2</v>
      </c>
      <c r="Q6" s="4">
        <f t="shared" si="3"/>
        <v>0</v>
      </c>
      <c r="R6" s="4">
        <f t="shared" si="3"/>
        <v>139</v>
      </c>
      <c r="S6" s="4">
        <f t="shared" si="3"/>
        <v>1.7</v>
      </c>
    </row>
    <row r="7" spans="1:19" x14ac:dyDescent="0.15">
      <c r="A7" t="s">
        <v>70</v>
      </c>
      <c r="D7" t="s">
        <v>19</v>
      </c>
      <c r="E7" s="2">
        <v>8.4300000000000003E-5</v>
      </c>
      <c r="M7" t="s">
        <v>19</v>
      </c>
      <c r="N7" s="2">
        <v>8.4300000000000003E-5</v>
      </c>
    </row>
    <row r="8" spans="1:19" x14ac:dyDescent="0.15">
      <c r="D8" t="s">
        <v>20</v>
      </c>
      <c r="E8">
        <v>0.54100000000000004</v>
      </c>
      <c r="F8">
        <v>2</v>
      </c>
      <c r="M8" t="s">
        <v>20</v>
      </c>
      <c r="N8">
        <v>0.54100000000000004</v>
      </c>
      <c r="O8">
        <v>2</v>
      </c>
    </row>
    <row r="9" spans="1:19" x14ac:dyDescent="0.15">
      <c r="D9" t="s">
        <v>21</v>
      </c>
      <c r="E9">
        <f>SQRT(E6^2+F6^2)/2+J6/E8</f>
        <v>752.69568893905978</v>
      </c>
      <c r="M9" t="s">
        <v>21</v>
      </c>
      <c r="N9">
        <f>SQRT(N6^2+O6^2)/2+S6/N8</f>
        <v>3863.3004721538496</v>
      </c>
    </row>
    <row r="10" spans="1:19" x14ac:dyDescent="0.15">
      <c r="D10" t="s">
        <v>22</v>
      </c>
      <c r="E10">
        <f>G6/2+I6/E8</f>
        <v>2036.4259704251388</v>
      </c>
      <c r="M10" t="s">
        <v>22</v>
      </c>
      <c r="N10">
        <f>P6/2+R6/N8</f>
        <v>3196.5316081330866</v>
      </c>
    </row>
    <row r="11" spans="1:19" x14ac:dyDescent="0.15">
      <c r="D11" t="s">
        <v>23</v>
      </c>
      <c r="E11" s="5">
        <f>E9/E7/(1000000)/0.9</f>
        <v>9.9208605369587435</v>
      </c>
      <c r="M11" t="s">
        <v>23</v>
      </c>
      <c r="N11" s="5">
        <f>N9/N7/(1000000)/0.9</f>
        <v>50.920000951019503</v>
      </c>
    </row>
    <row r="12" spans="1:19" x14ac:dyDescent="0.15">
      <c r="D12" t="s">
        <v>24</v>
      </c>
      <c r="E12" s="5">
        <f>E10/E7/(1000000)</f>
        <v>24.156891701365822</v>
      </c>
      <c r="M12" t="s">
        <v>24</v>
      </c>
      <c r="N12" s="5">
        <f>N10/N7/(1000000)</f>
        <v>37.918524414390113</v>
      </c>
    </row>
    <row r="13" spans="1:19" x14ac:dyDescent="0.15">
      <c r="D13" t="s">
        <v>25</v>
      </c>
      <c r="E13">
        <v>100</v>
      </c>
      <c r="M13" t="s">
        <v>25</v>
      </c>
      <c r="N13">
        <v>100</v>
      </c>
    </row>
    <row r="14" spans="1:19" x14ac:dyDescent="0.15">
      <c r="D14" t="s">
        <v>26</v>
      </c>
      <c r="E14">
        <v>240</v>
      </c>
      <c r="M14" t="s">
        <v>26</v>
      </c>
      <c r="N14">
        <v>240</v>
      </c>
    </row>
    <row r="15" spans="1:19" x14ac:dyDescent="0.15">
      <c r="D15" t="s">
        <v>27</v>
      </c>
      <c r="E15">
        <f>E11^2/E13^2+E12^2/E14^2</f>
        <v>1.997351780770348E-2</v>
      </c>
      <c r="M15" t="s">
        <v>27</v>
      </c>
      <c r="N15">
        <f>N11^2/N13^2+N12^2/N14^2</f>
        <v>0.2842467068685976</v>
      </c>
    </row>
    <row r="17" spans="4:18" ht="15.75" x14ac:dyDescent="0.15">
      <c r="D17" t="s">
        <v>28</v>
      </c>
      <c r="E17" s="6">
        <f>E6</f>
        <v>1049.9000000000001</v>
      </c>
      <c r="F17" s="6">
        <f>F6</f>
        <v>1077.3</v>
      </c>
      <c r="G17" s="6">
        <f>G6</f>
        <v>3886.9</v>
      </c>
      <c r="H17" s="6">
        <f>I6</f>
        <v>50.3</v>
      </c>
      <c r="I17" s="6">
        <f>J6</f>
        <v>0.3</v>
      </c>
      <c r="M17" t="s">
        <v>29</v>
      </c>
      <c r="N17" s="4">
        <f>N6</f>
        <v>5263.4</v>
      </c>
      <c r="O17" s="4">
        <f>O6</f>
        <v>5648</v>
      </c>
      <c r="P17" s="4">
        <f>P6</f>
        <v>5879.2</v>
      </c>
      <c r="Q17" s="4">
        <f>R6</f>
        <v>139</v>
      </c>
      <c r="R17" s="4">
        <f>S6</f>
        <v>1.7</v>
      </c>
    </row>
    <row r="18" spans="4:18" ht="15.75" x14ac:dyDescent="0.15">
      <c r="D18" t="s">
        <v>29</v>
      </c>
      <c r="E18" s="6">
        <f>N6</f>
        <v>5263.4</v>
      </c>
      <c r="F18" s="6">
        <f>O6</f>
        <v>5648</v>
      </c>
      <c r="G18" s="6">
        <f>P6</f>
        <v>5879.2</v>
      </c>
      <c r="H18" s="6">
        <f>R6</f>
        <v>139</v>
      </c>
      <c r="I18" s="6">
        <f>S6</f>
        <v>1.7</v>
      </c>
    </row>
    <row r="19" spans="4:18" s="5" customFormat="1" ht="15.75" x14ac:dyDescent="0.15">
      <c r="D19" s="5" t="s">
        <v>30</v>
      </c>
      <c r="E19" s="7">
        <f>E11</f>
        <v>9.9208605369587435</v>
      </c>
      <c r="F19" s="7">
        <v>100</v>
      </c>
      <c r="G19" s="7">
        <f>E12</f>
        <v>24.156891701365822</v>
      </c>
      <c r="H19" s="7">
        <v>240</v>
      </c>
      <c r="I19" s="7">
        <f>E15</f>
        <v>1.997351780770348E-2</v>
      </c>
      <c r="M19" s="5" t="s">
        <v>31</v>
      </c>
      <c r="N19" s="5">
        <f>N11</f>
        <v>50.920000951019503</v>
      </c>
      <c r="O19" s="5">
        <f>N13</f>
        <v>100</v>
      </c>
      <c r="P19" s="5">
        <f>N12</f>
        <v>37.918524414390113</v>
      </c>
      <c r="Q19" s="5">
        <f>N14</f>
        <v>240</v>
      </c>
      <c r="R19" s="5">
        <f>N15</f>
        <v>0.2842467068685976</v>
      </c>
    </row>
    <row r="20" spans="4:18" ht="15.75" x14ac:dyDescent="0.15">
      <c r="D20" s="5" t="s">
        <v>31</v>
      </c>
      <c r="E20" s="7">
        <f>N11</f>
        <v>50.920000951019503</v>
      </c>
      <c r="F20" s="7">
        <v>100</v>
      </c>
      <c r="G20" s="7">
        <f>N12</f>
        <v>37.918524414390113</v>
      </c>
      <c r="H20" s="7">
        <v>240</v>
      </c>
      <c r="I20" s="7">
        <f>N15</f>
        <v>0.2842467068685976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E19" sqref="E19:I20"/>
    </sheetView>
  </sheetViews>
  <sheetFormatPr defaultRowHeight="13.5" x14ac:dyDescent="0.15"/>
  <cols>
    <col min="4" max="4" width="13.375" customWidth="1"/>
    <col min="5" max="5" width="9.5" bestFit="1" customWidth="1"/>
    <col min="8" max="8" width="11.375" customWidth="1"/>
    <col min="14" max="14" width="9.5" bestFit="1" customWidth="1"/>
    <col min="17" max="17" width="10.25" customWidth="1"/>
    <col min="261" max="261" width="9.5" bestFit="1" customWidth="1"/>
    <col min="264" max="264" width="9.5" bestFit="1" customWidth="1"/>
    <col min="270" max="270" width="9.5" bestFit="1" customWidth="1"/>
    <col min="517" max="517" width="9.5" bestFit="1" customWidth="1"/>
    <col min="520" max="520" width="9.5" bestFit="1" customWidth="1"/>
    <col min="526" max="526" width="9.5" bestFit="1" customWidth="1"/>
    <col min="773" max="773" width="9.5" bestFit="1" customWidth="1"/>
    <col min="776" max="776" width="9.5" bestFit="1" customWidth="1"/>
    <col min="782" max="782" width="9.5" bestFit="1" customWidth="1"/>
    <col min="1029" max="1029" width="9.5" bestFit="1" customWidth="1"/>
    <col min="1032" max="1032" width="9.5" bestFit="1" customWidth="1"/>
    <col min="1038" max="1038" width="9.5" bestFit="1" customWidth="1"/>
    <col min="1285" max="1285" width="9.5" bestFit="1" customWidth="1"/>
    <col min="1288" max="1288" width="9.5" bestFit="1" customWidth="1"/>
    <col min="1294" max="1294" width="9.5" bestFit="1" customWidth="1"/>
    <col min="1541" max="1541" width="9.5" bestFit="1" customWidth="1"/>
    <col min="1544" max="1544" width="9.5" bestFit="1" customWidth="1"/>
    <col min="1550" max="1550" width="9.5" bestFit="1" customWidth="1"/>
    <col min="1797" max="1797" width="9.5" bestFit="1" customWidth="1"/>
    <col min="1800" max="1800" width="9.5" bestFit="1" customWidth="1"/>
    <col min="1806" max="1806" width="9.5" bestFit="1" customWidth="1"/>
    <col min="2053" max="2053" width="9.5" bestFit="1" customWidth="1"/>
    <col min="2056" max="2056" width="9.5" bestFit="1" customWidth="1"/>
    <col min="2062" max="2062" width="9.5" bestFit="1" customWidth="1"/>
    <col min="2309" max="2309" width="9.5" bestFit="1" customWidth="1"/>
    <col min="2312" max="2312" width="9.5" bestFit="1" customWidth="1"/>
    <col min="2318" max="2318" width="9.5" bestFit="1" customWidth="1"/>
    <col min="2565" max="2565" width="9.5" bestFit="1" customWidth="1"/>
    <col min="2568" max="2568" width="9.5" bestFit="1" customWidth="1"/>
    <col min="2574" max="2574" width="9.5" bestFit="1" customWidth="1"/>
    <col min="2821" max="2821" width="9.5" bestFit="1" customWidth="1"/>
    <col min="2824" max="2824" width="9.5" bestFit="1" customWidth="1"/>
    <col min="2830" max="2830" width="9.5" bestFit="1" customWidth="1"/>
    <col min="3077" max="3077" width="9.5" bestFit="1" customWidth="1"/>
    <col min="3080" max="3080" width="9.5" bestFit="1" customWidth="1"/>
    <col min="3086" max="3086" width="9.5" bestFit="1" customWidth="1"/>
    <col min="3333" max="3333" width="9.5" bestFit="1" customWidth="1"/>
    <col min="3336" max="3336" width="9.5" bestFit="1" customWidth="1"/>
    <col min="3342" max="3342" width="9.5" bestFit="1" customWidth="1"/>
    <col min="3589" max="3589" width="9.5" bestFit="1" customWidth="1"/>
    <col min="3592" max="3592" width="9.5" bestFit="1" customWidth="1"/>
    <col min="3598" max="3598" width="9.5" bestFit="1" customWidth="1"/>
    <col min="3845" max="3845" width="9.5" bestFit="1" customWidth="1"/>
    <col min="3848" max="3848" width="9.5" bestFit="1" customWidth="1"/>
    <col min="3854" max="3854" width="9.5" bestFit="1" customWidth="1"/>
    <col min="4101" max="4101" width="9.5" bestFit="1" customWidth="1"/>
    <col min="4104" max="4104" width="9.5" bestFit="1" customWidth="1"/>
    <col min="4110" max="4110" width="9.5" bestFit="1" customWidth="1"/>
    <col min="4357" max="4357" width="9.5" bestFit="1" customWidth="1"/>
    <col min="4360" max="4360" width="9.5" bestFit="1" customWidth="1"/>
    <col min="4366" max="4366" width="9.5" bestFit="1" customWidth="1"/>
    <col min="4613" max="4613" width="9.5" bestFit="1" customWidth="1"/>
    <col min="4616" max="4616" width="9.5" bestFit="1" customWidth="1"/>
    <col min="4622" max="4622" width="9.5" bestFit="1" customWidth="1"/>
    <col min="4869" max="4869" width="9.5" bestFit="1" customWidth="1"/>
    <col min="4872" max="4872" width="9.5" bestFit="1" customWidth="1"/>
    <col min="4878" max="4878" width="9.5" bestFit="1" customWidth="1"/>
    <col min="5125" max="5125" width="9.5" bestFit="1" customWidth="1"/>
    <col min="5128" max="5128" width="9.5" bestFit="1" customWidth="1"/>
    <col min="5134" max="5134" width="9.5" bestFit="1" customWidth="1"/>
    <col min="5381" max="5381" width="9.5" bestFit="1" customWidth="1"/>
    <col min="5384" max="5384" width="9.5" bestFit="1" customWidth="1"/>
    <col min="5390" max="5390" width="9.5" bestFit="1" customWidth="1"/>
    <col min="5637" max="5637" width="9.5" bestFit="1" customWidth="1"/>
    <col min="5640" max="5640" width="9.5" bestFit="1" customWidth="1"/>
    <col min="5646" max="5646" width="9.5" bestFit="1" customWidth="1"/>
    <col min="5893" max="5893" width="9.5" bestFit="1" customWidth="1"/>
    <col min="5896" max="5896" width="9.5" bestFit="1" customWidth="1"/>
    <col min="5902" max="5902" width="9.5" bestFit="1" customWidth="1"/>
    <col min="6149" max="6149" width="9.5" bestFit="1" customWidth="1"/>
    <col min="6152" max="6152" width="9.5" bestFit="1" customWidth="1"/>
    <col min="6158" max="6158" width="9.5" bestFit="1" customWidth="1"/>
    <col min="6405" max="6405" width="9.5" bestFit="1" customWidth="1"/>
    <col min="6408" max="6408" width="9.5" bestFit="1" customWidth="1"/>
    <col min="6414" max="6414" width="9.5" bestFit="1" customWidth="1"/>
    <col min="6661" max="6661" width="9.5" bestFit="1" customWidth="1"/>
    <col min="6664" max="6664" width="9.5" bestFit="1" customWidth="1"/>
    <col min="6670" max="6670" width="9.5" bestFit="1" customWidth="1"/>
    <col min="6917" max="6917" width="9.5" bestFit="1" customWidth="1"/>
    <col min="6920" max="6920" width="9.5" bestFit="1" customWidth="1"/>
    <col min="6926" max="6926" width="9.5" bestFit="1" customWidth="1"/>
    <col min="7173" max="7173" width="9.5" bestFit="1" customWidth="1"/>
    <col min="7176" max="7176" width="9.5" bestFit="1" customWidth="1"/>
    <col min="7182" max="7182" width="9.5" bestFit="1" customWidth="1"/>
    <col min="7429" max="7429" width="9.5" bestFit="1" customWidth="1"/>
    <col min="7432" max="7432" width="9.5" bestFit="1" customWidth="1"/>
    <col min="7438" max="7438" width="9.5" bestFit="1" customWidth="1"/>
    <col min="7685" max="7685" width="9.5" bestFit="1" customWidth="1"/>
    <col min="7688" max="7688" width="9.5" bestFit="1" customWidth="1"/>
    <col min="7694" max="7694" width="9.5" bestFit="1" customWidth="1"/>
    <col min="7941" max="7941" width="9.5" bestFit="1" customWidth="1"/>
    <col min="7944" max="7944" width="9.5" bestFit="1" customWidth="1"/>
    <col min="7950" max="7950" width="9.5" bestFit="1" customWidth="1"/>
    <col min="8197" max="8197" width="9.5" bestFit="1" customWidth="1"/>
    <col min="8200" max="8200" width="9.5" bestFit="1" customWidth="1"/>
    <col min="8206" max="8206" width="9.5" bestFit="1" customWidth="1"/>
    <col min="8453" max="8453" width="9.5" bestFit="1" customWidth="1"/>
    <col min="8456" max="8456" width="9.5" bestFit="1" customWidth="1"/>
    <col min="8462" max="8462" width="9.5" bestFit="1" customWidth="1"/>
    <col min="8709" max="8709" width="9.5" bestFit="1" customWidth="1"/>
    <col min="8712" max="8712" width="9.5" bestFit="1" customWidth="1"/>
    <col min="8718" max="8718" width="9.5" bestFit="1" customWidth="1"/>
    <col min="8965" max="8965" width="9.5" bestFit="1" customWidth="1"/>
    <col min="8968" max="8968" width="9.5" bestFit="1" customWidth="1"/>
    <col min="8974" max="8974" width="9.5" bestFit="1" customWidth="1"/>
    <col min="9221" max="9221" width="9.5" bestFit="1" customWidth="1"/>
    <col min="9224" max="9224" width="9.5" bestFit="1" customWidth="1"/>
    <col min="9230" max="9230" width="9.5" bestFit="1" customWidth="1"/>
    <col min="9477" max="9477" width="9.5" bestFit="1" customWidth="1"/>
    <col min="9480" max="9480" width="9.5" bestFit="1" customWidth="1"/>
    <col min="9486" max="9486" width="9.5" bestFit="1" customWidth="1"/>
    <col min="9733" max="9733" width="9.5" bestFit="1" customWidth="1"/>
    <col min="9736" max="9736" width="9.5" bestFit="1" customWidth="1"/>
    <col min="9742" max="9742" width="9.5" bestFit="1" customWidth="1"/>
    <col min="9989" max="9989" width="9.5" bestFit="1" customWidth="1"/>
    <col min="9992" max="9992" width="9.5" bestFit="1" customWidth="1"/>
    <col min="9998" max="9998" width="9.5" bestFit="1" customWidth="1"/>
    <col min="10245" max="10245" width="9.5" bestFit="1" customWidth="1"/>
    <col min="10248" max="10248" width="9.5" bestFit="1" customWidth="1"/>
    <col min="10254" max="10254" width="9.5" bestFit="1" customWidth="1"/>
    <col min="10501" max="10501" width="9.5" bestFit="1" customWidth="1"/>
    <col min="10504" max="10504" width="9.5" bestFit="1" customWidth="1"/>
    <col min="10510" max="10510" width="9.5" bestFit="1" customWidth="1"/>
    <col min="10757" max="10757" width="9.5" bestFit="1" customWidth="1"/>
    <col min="10760" max="10760" width="9.5" bestFit="1" customWidth="1"/>
    <col min="10766" max="10766" width="9.5" bestFit="1" customWidth="1"/>
    <col min="11013" max="11013" width="9.5" bestFit="1" customWidth="1"/>
    <col min="11016" max="11016" width="9.5" bestFit="1" customWidth="1"/>
    <col min="11022" max="11022" width="9.5" bestFit="1" customWidth="1"/>
    <col min="11269" max="11269" width="9.5" bestFit="1" customWidth="1"/>
    <col min="11272" max="11272" width="9.5" bestFit="1" customWidth="1"/>
    <col min="11278" max="11278" width="9.5" bestFit="1" customWidth="1"/>
    <col min="11525" max="11525" width="9.5" bestFit="1" customWidth="1"/>
    <col min="11528" max="11528" width="9.5" bestFit="1" customWidth="1"/>
    <col min="11534" max="11534" width="9.5" bestFit="1" customWidth="1"/>
    <col min="11781" max="11781" width="9.5" bestFit="1" customWidth="1"/>
    <col min="11784" max="11784" width="9.5" bestFit="1" customWidth="1"/>
    <col min="11790" max="11790" width="9.5" bestFit="1" customWidth="1"/>
    <col min="12037" max="12037" width="9.5" bestFit="1" customWidth="1"/>
    <col min="12040" max="12040" width="9.5" bestFit="1" customWidth="1"/>
    <col min="12046" max="12046" width="9.5" bestFit="1" customWidth="1"/>
    <col min="12293" max="12293" width="9.5" bestFit="1" customWidth="1"/>
    <col min="12296" max="12296" width="9.5" bestFit="1" customWidth="1"/>
    <col min="12302" max="12302" width="9.5" bestFit="1" customWidth="1"/>
    <col min="12549" max="12549" width="9.5" bestFit="1" customWidth="1"/>
    <col min="12552" max="12552" width="9.5" bestFit="1" customWidth="1"/>
    <col min="12558" max="12558" width="9.5" bestFit="1" customWidth="1"/>
    <col min="12805" max="12805" width="9.5" bestFit="1" customWidth="1"/>
    <col min="12808" max="12808" width="9.5" bestFit="1" customWidth="1"/>
    <col min="12814" max="12814" width="9.5" bestFit="1" customWidth="1"/>
    <col min="13061" max="13061" width="9.5" bestFit="1" customWidth="1"/>
    <col min="13064" max="13064" width="9.5" bestFit="1" customWidth="1"/>
    <col min="13070" max="13070" width="9.5" bestFit="1" customWidth="1"/>
    <col min="13317" max="13317" width="9.5" bestFit="1" customWidth="1"/>
    <col min="13320" max="13320" width="9.5" bestFit="1" customWidth="1"/>
    <col min="13326" max="13326" width="9.5" bestFit="1" customWidth="1"/>
    <col min="13573" max="13573" width="9.5" bestFit="1" customWidth="1"/>
    <col min="13576" max="13576" width="9.5" bestFit="1" customWidth="1"/>
    <col min="13582" max="13582" width="9.5" bestFit="1" customWidth="1"/>
    <col min="13829" max="13829" width="9.5" bestFit="1" customWidth="1"/>
    <col min="13832" max="13832" width="9.5" bestFit="1" customWidth="1"/>
    <col min="13838" max="13838" width="9.5" bestFit="1" customWidth="1"/>
    <col min="14085" max="14085" width="9.5" bestFit="1" customWidth="1"/>
    <col min="14088" max="14088" width="9.5" bestFit="1" customWidth="1"/>
    <col min="14094" max="14094" width="9.5" bestFit="1" customWidth="1"/>
    <col min="14341" max="14341" width="9.5" bestFit="1" customWidth="1"/>
    <col min="14344" max="14344" width="9.5" bestFit="1" customWidth="1"/>
    <col min="14350" max="14350" width="9.5" bestFit="1" customWidth="1"/>
    <col min="14597" max="14597" width="9.5" bestFit="1" customWidth="1"/>
    <col min="14600" max="14600" width="9.5" bestFit="1" customWidth="1"/>
    <col min="14606" max="14606" width="9.5" bestFit="1" customWidth="1"/>
    <col min="14853" max="14853" width="9.5" bestFit="1" customWidth="1"/>
    <col min="14856" max="14856" width="9.5" bestFit="1" customWidth="1"/>
    <col min="14862" max="14862" width="9.5" bestFit="1" customWidth="1"/>
    <col min="15109" max="15109" width="9.5" bestFit="1" customWidth="1"/>
    <col min="15112" max="15112" width="9.5" bestFit="1" customWidth="1"/>
    <col min="15118" max="15118" width="9.5" bestFit="1" customWidth="1"/>
    <col min="15365" max="15365" width="9.5" bestFit="1" customWidth="1"/>
    <col min="15368" max="15368" width="9.5" bestFit="1" customWidth="1"/>
    <col min="15374" max="15374" width="9.5" bestFit="1" customWidth="1"/>
    <col min="15621" max="15621" width="9.5" bestFit="1" customWidth="1"/>
    <col min="15624" max="15624" width="9.5" bestFit="1" customWidth="1"/>
    <col min="15630" max="15630" width="9.5" bestFit="1" customWidth="1"/>
    <col min="15877" max="15877" width="9.5" bestFit="1" customWidth="1"/>
    <col min="15880" max="15880" width="9.5" bestFit="1" customWidth="1"/>
    <col min="15886" max="15886" width="9.5" bestFit="1" customWidth="1"/>
    <col min="16133" max="16133" width="9.5" bestFit="1" customWidth="1"/>
    <col min="16136" max="16136" width="9.5" bestFit="1" customWidth="1"/>
    <col min="16142" max="16142" width="9.5" bestFit="1" customWidth="1"/>
  </cols>
  <sheetData>
    <row r="1" spans="1:19" x14ac:dyDescent="0.15">
      <c r="C1" s="86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L1" s="86"/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 x14ac:dyDescent="0.15">
      <c r="E2">
        <v>891.8</v>
      </c>
      <c r="F2">
        <v>841</v>
      </c>
      <c r="G2">
        <v>1999.8</v>
      </c>
      <c r="H2" s="2">
        <v>0</v>
      </c>
      <c r="I2">
        <v>2.9</v>
      </c>
      <c r="J2">
        <v>7</v>
      </c>
      <c r="Q2" s="2"/>
    </row>
    <row r="3" spans="1:19" x14ac:dyDescent="0.15">
      <c r="E3" s="2">
        <v>1159.0999999999999</v>
      </c>
      <c r="F3">
        <v>1103.0999999999999</v>
      </c>
      <c r="G3">
        <v>2304.6999999999998</v>
      </c>
      <c r="H3" s="2">
        <v>0</v>
      </c>
      <c r="I3">
        <v>3.2</v>
      </c>
      <c r="J3" s="2">
        <v>9.1999999999999993</v>
      </c>
      <c r="N3" s="2"/>
      <c r="Q3" s="2"/>
      <c r="S3" s="2"/>
    </row>
    <row r="4" spans="1:19" x14ac:dyDescent="0.15">
      <c r="H4" s="2"/>
      <c r="Q4" s="2"/>
    </row>
    <row r="5" spans="1:19" x14ac:dyDescent="0.15">
      <c r="D5" s="1" t="s">
        <v>18</v>
      </c>
      <c r="E5" s="1">
        <f>E2</f>
        <v>891.8</v>
      </c>
      <c r="F5" s="1">
        <f t="shared" ref="F5:J5" si="0">F2</f>
        <v>841</v>
      </c>
      <c r="G5" s="1">
        <f t="shared" si="0"/>
        <v>1999.8</v>
      </c>
      <c r="H5" s="1">
        <f t="shared" si="0"/>
        <v>0</v>
      </c>
      <c r="I5" s="1">
        <f t="shared" si="0"/>
        <v>2.9</v>
      </c>
      <c r="J5" s="1">
        <f t="shared" si="0"/>
        <v>7</v>
      </c>
      <c r="K5" s="1"/>
      <c r="L5" s="1"/>
      <c r="M5" s="1" t="s">
        <v>18</v>
      </c>
      <c r="N5" s="87">
        <f>E3</f>
        <v>1159.0999999999999</v>
      </c>
      <c r="O5" s="87">
        <f t="shared" ref="O5:S5" si="1">F3</f>
        <v>1103.0999999999999</v>
      </c>
      <c r="P5" s="87">
        <f t="shared" si="1"/>
        <v>2304.6999999999998</v>
      </c>
      <c r="Q5" s="87">
        <f t="shared" si="1"/>
        <v>0</v>
      </c>
      <c r="R5" s="87">
        <f t="shared" si="1"/>
        <v>3.2</v>
      </c>
      <c r="S5" s="87">
        <f t="shared" si="1"/>
        <v>9.1999999999999993</v>
      </c>
    </row>
    <row r="6" spans="1:19" x14ac:dyDescent="0.15">
      <c r="D6" s="4"/>
      <c r="E6" s="4">
        <f t="shared" ref="E6:J6" si="2">ABS(E5)</f>
        <v>891.8</v>
      </c>
      <c r="F6" s="4">
        <f t="shared" si="2"/>
        <v>841</v>
      </c>
      <c r="G6" s="4">
        <f t="shared" si="2"/>
        <v>1999.8</v>
      </c>
      <c r="H6" s="4">
        <f t="shared" si="2"/>
        <v>0</v>
      </c>
      <c r="I6" s="4">
        <f t="shared" si="2"/>
        <v>2.9</v>
      </c>
      <c r="J6" s="4">
        <f t="shared" si="2"/>
        <v>7</v>
      </c>
      <c r="K6" s="4"/>
      <c r="L6" s="4"/>
      <c r="M6" s="4"/>
      <c r="N6" s="4">
        <f t="shared" ref="N6:S6" si="3">ABS(N5)</f>
        <v>1159.0999999999999</v>
      </c>
      <c r="O6" s="4">
        <f t="shared" si="3"/>
        <v>1103.0999999999999</v>
      </c>
      <c r="P6" s="4">
        <f t="shared" si="3"/>
        <v>2304.6999999999998</v>
      </c>
      <c r="Q6" s="4">
        <f t="shared" si="3"/>
        <v>0</v>
      </c>
      <c r="R6" s="4">
        <f t="shared" si="3"/>
        <v>3.2</v>
      </c>
      <c r="S6" s="4">
        <f t="shared" si="3"/>
        <v>9.1999999999999993</v>
      </c>
    </row>
    <row r="7" spans="1:19" x14ac:dyDescent="0.15">
      <c r="A7" t="s">
        <v>70</v>
      </c>
      <c r="D7" t="s">
        <v>19</v>
      </c>
      <c r="E7" s="2">
        <v>8.4300000000000003E-5</v>
      </c>
      <c r="M7" t="s">
        <v>19</v>
      </c>
      <c r="N7" s="2">
        <v>8.4300000000000003E-5</v>
      </c>
    </row>
    <row r="8" spans="1:19" x14ac:dyDescent="0.15">
      <c r="D8" t="s">
        <v>20</v>
      </c>
      <c r="E8">
        <v>0.24099999999999999</v>
      </c>
      <c r="F8">
        <v>2</v>
      </c>
      <c r="M8" t="s">
        <v>20</v>
      </c>
      <c r="N8">
        <v>0.24099999999999999</v>
      </c>
      <c r="O8">
        <v>2</v>
      </c>
    </row>
    <row r="9" spans="1:19" x14ac:dyDescent="0.15">
      <c r="D9" t="s">
        <v>21</v>
      </c>
      <c r="E9">
        <f>SQRT(E6^2+F6^2)/2+J6/E8</f>
        <v>641.94617341924629</v>
      </c>
      <c r="M9" t="s">
        <v>21</v>
      </c>
      <c r="N9">
        <f>SQRT(N6^2+O6^2)/2+S6/N8</f>
        <v>838.22777519492558</v>
      </c>
    </row>
    <row r="10" spans="1:19" x14ac:dyDescent="0.15">
      <c r="D10" t="s">
        <v>22</v>
      </c>
      <c r="E10">
        <f>G6/2+I6/E8</f>
        <v>1011.9331950207469</v>
      </c>
      <c r="M10" t="s">
        <v>22</v>
      </c>
      <c r="N10">
        <f>P6/2+R6/N8</f>
        <v>1165.628008298755</v>
      </c>
    </row>
    <row r="11" spans="1:19" x14ac:dyDescent="0.15">
      <c r="D11" t="s">
        <v>23</v>
      </c>
      <c r="E11" s="5">
        <f>E9/E7/(1000000)/0.9</f>
        <v>8.4611331675134611</v>
      </c>
      <c r="M11" t="s">
        <v>23</v>
      </c>
      <c r="N11" s="5">
        <f>N9/N7/(1000000)/0.9</f>
        <v>11.048211087319435</v>
      </c>
    </row>
    <row r="12" spans="1:19" x14ac:dyDescent="0.15">
      <c r="D12" t="s">
        <v>24</v>
      </c>
      <c r="E12" s="5">
        <f>E10/E7/(1000000)</f>
        <v>12.00395249134931</v>
      </c>
      <c r="M12" t="s">
        <v>24</v>
      </c>
      <c r="N12" s="5">
        <f>N10/N7/(1000000)</f>
        <v>13.82714126095795</v>
      </c>
    </row>
    <row r="13" spans="1:19" x14ac:dyDescent="0.15">
      <c r="D13" t="s">
        <v>25</v>
      </c>
      <c r="E13">
        <v>100</v>
      </c>
      <c r="M13" t="s">
        <v>25</v>
      </c>
      <c r="N13">
        <v>100</v>
      </c>
    </row>
    <row r="14" spans="1:19" x14ac:dyDescent="0.15">
      <c r="D14" t="s">
        <v>26</v>
      </c>
      <c r="E14">
        <v>240</v>
      </c>
      <c r="M14" t="s">
        <v>26</v>
      </c>
      <c r="N14">
        <v>240</v>
      </c>
    </row>
    <row r="15" spans="1:19" x14ac:dyDescent="0.15">
      <c r="D15" t="s">
        <v>27</v>
      </c>
      <c r="E15">
        <f>E11^2/E13^2+E12^2/E14^2</f>
        <v>9.6607245904537214E-3</v>
      </c>
      <c r="M15" t="s">
        <v>27</v>
      </c>
      <c r="N15">
        <f>N11^2/N13^2+N12^2/N14^2</f>
        <v>1.5525564799567746E-2</v>
      </c>
    </row>
    <row r="17" spans="4:18" ht="15.75" x14ac:dyDescent="0.15">
      <c r="D17" t="s">
        <v>28</v>
      </c>
      <c r="E17" s="6">
        <f>E6</f>
        <v>891.8</v>
      </c>
      <c r="F17" s="6">
        <f>F6</f>
        <v>841</v>
      </c>
      <c r="G17" s="6">
        <f>G6</f>
        <v>1999.8</v>
      </c>
      <c r="H17" s="6">
        <f>I6</f>
        <v>2.9</v>
      </c>
      <c r="I17" s="6">
        <f>J6</f>
        <v>7</v>
      </c>
      <c r="M17" t="s">
        <v>29</v>
      </c>
      <c r="N17" s="4">
        <f>N6</f>
        <v>1159.0999999999999</v>
      </c>
      <c r="O17" s="4">
        <f>O6</f>
        <v>1103.0999999999999</v>
      </c>
      <c r="P17" s="4">
        <f>P6</f>
        <v>2304.6999999999998</v>
      </c>
      <c r="Q17" s="4">
        <f>R6</f>
        <v>3.2</v>
      </c>
      <c r="R17" s="4">
        <f>S6</f>
        <v>9.1999999999999993</v>
      </c>
    </row>
    <row r="18" spans="4:18" ht="15.75" x14ac:dyDescent="0.15">
      <c r="D18" t="s">
        <v>29</v>
      </c>
      <c r="E18" s="6">
        <f>N6</f>
        <v>1159.0999999999999</v>
      </c>
      <c r="F18" s="6">
        <f>O6</f>
        <v>1103.0999999999999</v>
      </c>
      <c r="G18" s="6">
        <f>P6</f>
        <v>2304.6999999999998</v>
      </c>
      <c r="H18" s="6">
        <f>R6</f>
        <v>3.2</v>
      </c>
      <c r="I18" s="6">
        <f>S6</f>
        <v>9.1999999999999993</v>
      </c>
    </row>
    <row r="19" spans="4:18" s="5" customFormat="1" ht="15.75" x14ac:dyDescent="0.15">
      <c r="D19" s="5" t="s">
        <v>30</v>
      </c>
      <c r="E19" s="7">
        <f>E11</f>
        <v>8.4611331675134611</v>
      </c>
      <c r="F19" s="7">
        <v>100</v>
      </c>
      <c r="G19" s="7">
        <f>E12</f>
        <v>12.00395249134931</v>
      </c>
      <c r="H19" s="7">
        <v>240</v>
      </c>
      <c r="I19" s="7">
        <f>E15</f>
        <v>9.6607245904537214E-3</v>
      </c>
      <c r="M19" s="5" t="s">
        <v>31</v>
      </c>
      <c r="N19" s="5">
        <f>N11</f>
        <v>11.048211087319435</v>
      </c>
      <c r="O19" s="5">
        <f>N13</f>
        <v>100</v>
      </c>
      <c r="P19" s="5">
        <f>N12</f>
        <v>13.82714126095795</v>
      </c>
      <c r="Q19" s="5">
        <f>N14</f>
        <v>240</v>
      </c>
      <c r="R19" s="5">
        <f>N15</f>
        <v>1.5525564799567746E-2</v>
      </c>
    </row>
    <row r="20" spans="4:18" ht="15.75" x14ac:dyDescent="0.15">
      <c r="D20" s="5" t="s">
        <v>31</v>
      </c>
      <c r="E20" s="7">
        <f>N11</f>
        <v>11.048211087319435</v>
      </c>
      <c r="F20" s="7">
        <v>100</v>
      </c>
      <c r="G20" s="7">
        <f>N12</f>
        <v>13.82714126095795</v>
      </c>
      <c r="H20" s="7">
        <v>240</v>
      </c>
      <c r="I20" s="7">
        <f>N15</f>
        <v>1.5525564799567746E-2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J14" sqref="J14"/>
    </sheetView>
  </sheetViews>
  <sheetFormatPr defaultRowHeight="13.5" x14ac:dyDescent="0.15"/>
  <cols>
    <col min="4" max="4" width="13.375" customWidth="1"/>
    <col min="5" max="5" width="9.5" bestFit="1" customWidth="1"/>
    <col min="8" max="8" width="11.375" customWidth="1"/>
    <col min="14" max="14" width="9.5" bestFit="1" customWidth="1"/>
    <col min="17" max="17" width="10.25" customWidth="1"/>
    <col min="261" max="261" width="9.5" bestFit="1" customWidth="1"/>
    <col min="264" max="264" width="9.5" bestFit="1" customWidth="1"/>
    <col min="270" max="270" width="9.5" bestFit="1" customWidth="1"/>
    <col min="517" max="517" width="9.5" bestFit="1" customWidth="1"/>
    <col min="520" max="520" width="9.5" bestFit="1" customWidth="1"/>
    <col min="526" max="526" width="9.5" bestFit="1" customWidth="1"/>
    <col min="773" max="773" width="9.5" bestFit="1" customWidth="1"/>
    <col min="776" max="776" width="9.5" bestFit="1" customWidth="1"/>
    <col min="782" max="782" width="9.5" bestFit="1" customWidth="1"/>
    <col min="1029" max="1029" width="9.5" bestFit="1" customWidth="1"/>
    <col min="1032" max="1032" width="9.5" bestFit="1" customWidth="1"/>
    <col min="1038" max="1038" width="9.5" bestFit="1" customWidth="1"/>
    <col min="1285" max="1285" width="9.5" bestFit="1" customWidth="1"/>
    <col min="1288" max="1288" width="9.5" bestFit="1" customWidth="1"/>
    <col min="1294" max="1294" width="9.5" bestFit="1" customWidth="1"/>
    <col min="1541" max="1541" width="9.5" bestFit="1" customWidth="1"/>
    <col min="1544" max="1544" width="9.5" bestFit="1" customWidth="1"/>
    <col min="1550" max="1550" width="9.5" bestFit="1" customWidth="1"/>
    <col min="1797" max="1797" width="9.5" bestFit="1" customWidth="1"/>
    <col min="1800" max="1800" width="9.5" bestFit="1" customWidth="1"/>
    <col min="1806" max="1806" width="9.5" bestFit="1" customWidth="1"/>
    <col min="2053" max="2053" width="9.5" bestFit="1" customWidth="1"/>
    <col min="2056" max="2056" width="9.5" bestFit="1" customWidth="1"/>
    <col min="2062" max="2062" width="9.5" bestFit="1" customWidth="1"/>
    <col min="2309" max="2309" width="9.5" bestFit="1" customWidth="1"/>
    <col min="2312" max="2312" width="9.5" bestFit="1" customWidth="1"/>
    <col min="2318" max="2318" width="9.5" bestFit="1" customWidth="1"/>
    <col min="2565" max="2565" width="9.5" bestFit="1" customWidth="1"/>
    <col min="2568" max="2568" width="9.5" bestFit="1" customWidth="1"/>
    <col min="2574" max="2574" width="9.5" bestFit="1" customWidth="1"/>
    <col min="2821" max="2821" width="9.5" bestFit="1" customWidth="1"/>
    <col min="2824" max="2824" width="9.5" bestFit="1" customWidth="1"/>
    <col min="2830" max="2830" width="9.5" bestFit="1" customWidth="1"/>
    <col min="3077" max="3077" width="9.5" bestFit="1" customWidth="1"/>
    <col min="3080" max="3080" width="9.5" bestFit="1" customWidth="1"/>
    <col min="3086" max="3086" width="9.5" bestFit="1" customWidth="1"/>
    <col min="3333" max="3333" width="9.5" bestFit="1" customWidth="1"/>
    <col min="3336" max="3336" width="9.5" bestFit="1" customWidth="1"/>
    <col min="3342" max="3342" width="9.5" bestFit="1" customWidth="1"/>
    <col min="3589" max="3589" width="9.5" bestFit="1" customWidth="1"/>
    <col min="3592" max="3592" width="9.5" bestFit="1" customWidth="1"/>
    <col min="3598" max="3598" width="9.5" bestFit="1" customWidth="1"/>
    <col min="3845" max="3845" width="9.5" bestFit="1" customWidth="1"/>
    <col min="3848" max="3848" width="9.5" bestFit="1" customWidth="1"/>
    <col min="3854" max="3854" width="9.5" bestFit="1" customWidth="1"/>
    <col min="4101" max="4101" width="9.5" bestFit="1" customWidth="1"/>
    <col min="4104" max="4104" width="9.5" bestFit="1" customWidth="1"/>
    <col min="4110" max="4110" width="9.5" bestFit="1" customWidth="1"/>
    <col min="4357" max="4357" width="9.5" bestFit="1" customWidth="1"/>
    <col min="4360" max="4360" width="9.5" bestFit="1" customWidth="1"/>
    <col min="4366" max="4366" width="9.5" bestFit="1" customWidth="1"/>
    <col min="4613" max="4613" width="9.5" bestFit="1" customWidth="1"/>
    <col min="4616" max="4616" width="9.5" bestFit="1" customWidth="1"/>
    <col min="4622" max="4622" width="9.5" bestFit="1" customWidth="1"/>
    <col min="4869" max="4869" width="9.5" bestFit="1" customWidth="1"/>
    <col min="4872" max="4872" width="9.5" bestFit="1" customWidth="1"/>
    <col min="4878" max="4878" width="9.5" bestFit="1" customWidth="1"/>
    <col min="5125" max="5125" width="9.5" bestFit="1" customWidth="1"/>
    <col min="5128" max="5128" width="9.5" bestFit="1" customWidth="1"/>
    <col min="5134" max="5134" width="9.5" bestFit="1" customWidth="1"/>
    <col min="5381" max="5381" width="9.5" bestFit="1" customWidth="1"/>
    <col min="5384" max="5384" width="9.5" bestFit="1" customWidth="1"/>
    <col min="5390" max="5390" width="9.5" bestFit="1" customWidth="1"/>
    <col min="5637" max="5637" width="9.5" bestFit="1" customWidth="1"/>
    <col min="5640" max="5640" width="9.5" bestFit="1" customWidth="1"/>
    <col min="5646" max="5646" width="9.5" bestFit="1" customWidth="1"/>
    <col min="5893" max="5893" width="9.5" bestFit="1" customWidth="1"/>
    <col min="5896" max="5896" width="9.5" bestFit="1" customWidth="1"/>
    <col min="5902" max="5902" width="9.5" bestFit="1" customWidth="1"/>
    <col min="6149" max="6149" width="9.5" bestFit="1" customWidth="1"/>
    <col min="6152" max="6152" width="9.5" bestFit="1" customWidth="1"/>
    <col min="6158" max="6158" width="9.5" bestFit="1" customWidth="1"/>
    <col min="6405" max="6405" width="9.5" bestFit="1" customWidth="1"/>
    <col min="6408" max="6408" width="9.5" bestFit="1" customWidth="1"/>
    <col min="6414" max="6414" width="9.5" bestFit="1" customWidth="1"/>
    <col min="6661" max="6661" width="9.5" bestFit="1" customWidth="1"/>
    <col min="6664" max="6664" width="9.5" bestFit="1" customWidth="1"/>
    <col min="6670" max="6670" width="9.5" bestFit="1" customWidth="1"/>
    <col min="6917" max="6917" width="9.5" bestFit="1" customWidth="1"/>
    <col min="6920" max="6920" width="9.5" bestFit="1" customWidth="1"/>
    <col min="6926" max="6926" width="9.5" bestFit="1" customWidth="1"/>
    <col min="7173" max="7173" width="9.5" bestFit="1" customWidth="1"/>
    <col min="7176" max="7176" width="9.5" bestFit="1" customWidth="1"/>
    <col min="7182" max="7182" width="9.5" bestFit="1" customWidth="1"/>
    <col min="7429" max="7429" width="9.5" bestFit="1" customWidth="1"/>
    <col min="7432" max="7432" width="9.5" bestFit="1" customWidth="1"/>
    <col min="7438" max="7438" width="9.5" bestFit="1" customWidth="1"/>
    <col min="7685" max="7685" width="9.5" bestFit="1" customWidth="1"/>
    <col min="7688" max="7688" width="9.5" bestFit="1" customWidth="1"/>
    <col min="7694" max="7694" width="9.5" bestFit="1" customWidth="1"/>
    <col min="7941" max="7941" width="9.5" bestFit="1" customWidth="1"/>
    <col min="7944" max="7944" width="9.5" bestFit="1" customWidth="1"/>
    <col min="7950" max="7950" width="9.5" bestFit="1" customWidth="1"/>
    <col min="8197" max="8197" width="9.5" bestFit="1" customWidth="1"/>
    <col min="8200" max="8200" width="9.5" bestFit="1" customWidth="1"/>
    <col min="8206" max="8206" width="9.5" bestFit="1" customWidth="1"/>
    <col min="8453" max="8453" width="9.5" bestFit="1" customWidth="1"/>
    <col min="8456" max="8456" width="9.5" bestFit="1" customWidth="1"/>
    <col min="8462" max="8462" width="9.5" bestFit="1" customWidth="1"/>
    <col min="8709" max="8709" width="9.5" bestFit="1" customWidth="1"/>
    <col min="8712" max="8712" width="9.5" bestFit="1" customWidth="1"/>
    <col min="8718" max="8718" width="9.5" bestFit="1" customWidth="1"/>
    <col min="8965" max="8965" width="9.5" bestFit="1" customWidth="1"/>
    <col min="8968" max="8968" width="9.5" bestFit="1" customWidth="1"/>
    <col min="8974" max="8974" width="9.5" bestFit="1" customWidth="1"/>
    <col min="9221" max="9221" width="9.5" bestFit="1" customWidth="1"/>
    <col min="9224" max="9224" width="9.5" bestFit="1" customWidth="1"/>
    <col min="9230" max="9230" width="9.5" bestFit="1" customWidth="1"/>
    <col min="9477" max="9477" width="9.5" bestFit="1" customWidth="1"/>
    <col min="9480" max="9480" width="9.5" bestFit="1" customWidth="1"/>
    <col min="9486" max="9486" width="9.5" bestFit="1" customWidth="1"/>
    <col min="9733" max="9733" width="9.5" bestFit="1" customWidth="1"/>
    <col min="9736" max="9736" width="9.5" bestFit="1" customWidth="1"/>
    <col min="9742" max="9742" width="9.5" bestFit="1" customWidth="1"/>
    <col min="9989" max="9989" width="9.5" bestFit="1" customWidth="1"/>
    <col min="9992" max="9992" width="9.5" bestFit="1" customWidth="1"/>
    <col min="9998" max="9998" width="9.5" bestFit="1" customWidth="1"/>
    <col min="10245" max="10245" width="9.5" bestFit="1" customWidth="1"/>
    <col min="10248" max="10248" width="9.5" bestFit="1" customWidth="1"/>
    <col min="10254" max="10254" width="9.5" bestFit="1" customWidth="1"/>
    <col min="10501" max="10501" width="9.5" bestFit="1" customWidth="1"/>
    <col min="10504" max="10504" width="9.5" bestFit="1" customWidth="1"/>
    <col min="10510" max="10510" width="9.5" bestFit="1" customWidth="1"/>
    <col min="10757" max="10757" width="9.5" bestFit="1" customWidth="1"/>
    <col min="10760" max="10760" width="9.5" bestFit="1" customWidth="1"/>
    <col min="10766" max="10766" width="9.5" bestFit="1" customWidth="1"/>
    <col min="11013" max="11013" width="9.5" bestFit="1" customWidth="1"/>
    <col min="11016" max="11016" width="9.5" bestFit="1" customWidth="1"/>
    <col min="11022" max="11022" width="9.5" bestFit="1" customWidth="1"/>
    <col min="11269" max="11269" width="9.5" bestFit="1" customWidth="1"/>
    <col min="11272" max="11272" width="9.5" bestFit="1" customWidth="1"/>
    <col min="11278" max="11278" width="9.5" bestFit="1" customWidth="1"/>
    <col min="11525" max="11525" width="9.5" bestFit="1" customWidth="1"/>
    <col min="11528" max="11528" width="9.5" bestFit="1" customWidth="1"/>
    <col min="11534" max="11534" width="9.5" bestFit="1" customWidth="1"/>
    <col min="11781" max="11781" width="9.5" bestFit="1" customWidth="1"/>
    <col min="11784" max="11784" width="9.5" bestFit="1" customWidth="1"/>
    <col min="11790" max="11790" width="9.5" bestFit="1" customWidth="1"/>
    <col min="12037" max="12037" width="9.5" bestFit="1" customWidth="1"/>
    <col min="12040" max="12040" width="9.5" bestFit="1" customWidth="1"/>
    <col min="12046" max="12046" width="9.5" bestFit="1" customWidth="1"/>
    <col min="12293" max="12293" width="9.5" bestFit="1" customWidth="1"/>
    <col min="12296" max="12296" width="9.5" bestFit="1" customWidth="1"/>
    <col min="12302" max="12302" width="9.5" bestFit="1" customWidth="1"/>
    <col min="12549" max="12549" width="9.5" bestFit="1" customWidth="1"/>
    <col min="12552" max="12552" width="9.5" bestFit="1" customWidth="1"/>
    <col min="12558" max="12558" width="9.5" bestFit="1" customWidth="1"/>
    <col min="12805" max="12805" width="9.5" bestFit="1" customWidth="1"/>
    <col min="12808" max="12808" width="9.5" bestFit="1" customWidth="1"/>
    <col min="12814" max="12814" width="9.5" bestFit="1" customWidth="1"/>
    <col min="13061" max="13061" width="9.5" bestFit="1" customWidth="1"/>
    <col min="13064" max="13064" width="9.5" bestFit="1" customWidth="1"/>
    <col min="13070" max="13070" width="9.5" bestFit="1" customWidth="1"/>
    <col min="13317" max="13317" width="9.5" bestFit="1" customWidth="1"/>
    <col min="13320" max="13320" width="9.5" bestFit="1" customWidth="1"/>
    <col min="13326" max="13326" width="9.5" bestFit="1" customWidth="1"/>
    <col min="13573" max="13573" width="9.5" bestFit="1" customWidth="1"/>
    <col min="13576" max="13576" width="9.5" bestFit="1" customWidth="1"/>
    <col min="13582" max="13582" width="9.5" bestFit="1" customWidth="1"/>
    <col min="13829" max="13829" width="9.5" bestFit="1" customWidth="1"/>
    <col min="13832" max="13832" width="9.5" bestFit="1" customWidth="1"/>
    <col min="13838" max="13838" width="9.5" bestFit="1" customWidth="1"/>
    <col min="14085" max="14085" width="9.5" bestFit="1" customWidth="1"/>
    <col min="14088" max="14088" width="9.5" bestFit="1" customWidth="1"/>
    <col min="14094" max="14094" width="9.5" bestFit="1" customWidth="1"/>
    <col min="14341" max="14341" width="9.5" bestFit="1" customWidth="1"/>
    <col min="14344" max="14344" width="9.5" bestFit="1" customWidth="1"/>
    <col min="14350" max="14350" width="9.5" bestFit="1" customWidth="1"/>
    <col min="14597" max="14597" width="9.5" bestFit="1" customWidth="1"/>
    <col min="14600" max="14600" width="9.5" bestFit="1" customWidth="1"/>
    <col min="14606" max="14606" width="9.5" bestFit="1" customWidth="1"/>
    <col min="14853" max="14853" width="9.5" bestFit="1" customWidth="1"/>
    <col min="14856" max="14856" width="9.5" bestFit="1" customWidth="1"/>
    <col min="14862" max="14862" width="9.5" bestFit="1" customWidth="1"/>
    <col min="15109" max="15109" width="9.5" bestFit="1" customWidth="1"/>
    <col min="15112" max="15112" width="9.5" bestFit="1" customWidth="1"/>
    <col min="15118" max="15118" width="9.5" bestFit="1" customWidth="1"/>
    <col min="15365" max="15365" width="9.5" bestFit="1" customWidth="1"/>
    <col min="15368" max="15368" width="9.5" bestFit="1" customWidth="1"/>
    <col min="15374" max="15374" width="9.5" bestFit="1" customWidth="1"/>
    <col min="15621" max="15621" width="9.5" bestFit="1" customWidth="1"/>
    <col min="15624" max="15624" width="9.5" bestFit="1" customWidth="1"/>
    <col min="15630" max="15630" width="9.5" bestFit="1" customWidth="1"/>
    <col min="15877" max="15877" width="9.5" bestFit="1" customWidth="1"/>
    <col min="15880" max="15880" width="9.5" bestFit="1" customWidth="1"/>
    <col min="15886" max="15886" width="9.5" bestFit="1" customWidth="1"/>
    <col min="16133" max="16133" width="9.5" bestFit="1" customWidth="1"/>
    <col min="16136" max="16136" width="9.5" bestFit="1" customWidth="1"/>
    <col min="16142" max="16142" width="9.5" bestFit="1" customWidth="1"/>
  </cols>
  <sheetData>
    <row r="1" spans="1:19" x14ac:dyDescent="0.15">
      <c r="C1" s="86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L1" s="86"/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 x14ac:dyDescent="0.15">
      <c r="E2">
        <v>1212.5</v>
      </c>
      <c r="F2">
        <v>1076.8</v>
      </c>
      <c r="G2">
        <v>2557.6</v>
      </c>
      <c r="H2" s="2">
        <v>0</v>
      </c>
      <c r="I2">
        <v>6.1</v>
      </c>
      <c r="J2">
        <v>9.9</v>
      </c>
      <c r="Q2" s="2"/>
    </row>
    <row r="3" spans="1:19" x14ac:dyDescent="0.15">
      <c r="E3" s="4">
        <v>1568.7</v>
      </c>
      <c r="F3" s="4">
        <v>1412.4</v>
      </c>
      <c r="G3" s="4">
        <v>2947.7</v>
      </c>
      <c r="H3" s="4">
        <v>0</v>
      </c>
      <c r="I3" s="4">
        <v>7</v>
      </c>
      <c r="J3" s="4">
        <v>12.9</v>
      </c>
      <c r="N3" s="2"/>
      <c r="Q3" s="2"/>
      <c r="S3" s="2"/>
    </row>
    <row r="4" spans="1:19" x14ac:dyDescent="0.15">
      <c r="H4" s="2"/>
      <c r="Q4" s="2"/>
    </row>
    <row r="5" spans="1:19" x14ac:dyDescent="0.15">
      <c r="D5" s="1" t="s">
        <v>18</v>
      </c>
      <c r="E5" s="1">
        <f>E2</f>
        <v>1212.5</v>
      </c>
      <c r="F5" s="1">
        <f t="shared" ref="F5:J5" si="0">F2</f>
        <v>1076.8</v>
      </c>
      <c r="G5" s="1">
        <f t="shared" si="0"/>
        <v>2557.6</v>
      </c>
      <c r="H5" s="1">
        <f t="shared" si="0"/>
        <v>0</v>
      </c>
      <c r="I5" s="1">
        <f t="shared" si="0"/>
        <v>6.1</v>
      </c>
      <c r="J5" s="1">
        <f t="shared" si="0"/>
        <v>9.9</v>
      </c>
      <c r="K5" s="1"/>
      <c r="L5" s="1"/>
      <c r="M5" s="1" t="s">
        <v>18</v>
      </c>
      <c r="N5" s="87">
        <f>E3</f>
        <v>1568.7</v>
      </c>
      <c r="O5" s="87">
        <f t="shared" ref="O5:S5" si="1">F3</f>
        <v>1412.4</v>
      </c>
      <c r="P5" s="87">
        <f t="shared" si="1"/>
        <v>2947.7</v>
      </c>
      <c r="Q5" s="87">
        <f t="shared" si="1"/>
        <v>0</v>
      </c>
      <c r="R5" s="87">
        <f t="shared" si="1"/>
        <v>7</v>
      </c>
      <c r="S5" s="87">
        <f t="shared" si="1"/>
        <v>12.9</v>
      </c>
    </row>
    <row r="6" spans="1:19" x14ac:dyDescent="0.15">
      <c r="D6" s="4"/>
      <c r="E6" s="4">
        <f t="shared" ref="E6:J6" si="2">ABS(E5)</f>
        <v>1212.5</v>
      </c>
      <c r="F6" s="4">
        <f t="shared" si="2"/>
        <v>1076.8</v>
      </c>
      <c r="G6" s="4">
        <f t="shared" si="2"/>
        <v>2557.6</v>
      </c>
      <c r="H6" s="4">
        <f t="shared" si="2"/>
        <v>0</v>
      </c>
      <c r="I6" s="4">
        <f t="shared" si="2"/>
        <v>6.1</v>
      </c>
      <c r="J6" s="4">
        <f t="shared" si="2"/>
        <v>9.9</v>
      </c>
      <c r="K6" s="4"/>
      <c r="L6" s="4"/>
      <c r="M6" s="4"/>
      <c r="N6" s="4">
        <f t="shared" ref="N6:S6" si="3">ABS(N5)</f>
        <v>1568.7</v>
      </c>
      <c r="O6" s="4">
        <f t="shared" si="3"/>
        <v>1412.4</v>
      </c>
      <c r="P6" s="4">
        <f t="shared" si="3"/>
        <v>2947.7</v>
      </c>
      <c r="Q6" s="4">
        <f t="shared" si="3"/>
        <v>0</v>
      </c>
      <c r="R6" s="4">
        <f t="shared" si="3"/>
        <v>7</v>
      </c>
      <c r="S6" s="4">
        <f t="shared" si="3"/>
        <v>12.9</v>
      </c>
    </row>
    <row r="7" spans="1:19" x14ac:dyDescent="0.15">
      <c r="A7" t="s">
        <v>70</v>
      </c>
      <c r="D7" t="s">
        <v>19</v>
      </c>
      <c r="E7" s="2">
        <v>3.6600000000000002E-5</v>
      </c>
      <c r="M7" t="s">
        <v>19</v>
      </c>
      <c r="N7" s="2">
        <v>3.6600000000000002E-5</v>
      </c>
    </row>
    <row r="8" spans="1:19" x14ac:dyDescent="0.15">
      <c r="D8" t="s">
        <v>20</v>
      </c>
      <c r="E8">
        <v>0.14099999999999999</v>
      </c>
      <c r="F8">
        <v>1</v>
      </c>
      <c r="M8" t="s">
        <v>20</v>
      </c>
      <c r="N8">
        <v>0.14099999999999999</v>
      </c>
      <c r="O8">
        <v>1</v>
      </c>
    </row>
    <row r="9" spans="1:19" x14ac:dyDescent="0.15">
      <c r="D9" t="s">
        <v>21</v>
      </c>
      <c r="E9" s="4">
        <f>SQRT(E6^2+F6^2)+J6</f>
        <v>1631.5209452273366</v>
      </c>
      <c r="M9" t="s">
        <v>21</v>
      </c>
      <c r="N9" s="4">
        <f>SQRT(N6^2+O6^2)+S6</f>
        <v>2123.7513566805219</v>
      </c>
    </row>
    <row r="10" spans="1:19" x14ac:dyDescent="0.15">
      <c r="D10" t="s">
        <v>22</v>
      </c>
      <c r="E10" s="4">
        <f>G6+I6</f>
        <v>2563.6999999999998</v>
      </c>
      <c r="M10" t="s">
        <v>22</v>
      </c>
      <c r="N10" s="4">
        <f>P6+R6</f>
        <v>2954.7</v>
      </c>
    </row>
    <row r="11" spans="1:19" x14ac:dyDescent="0.15">
      <c r="D11" t="s">
        <v>23</v>
      </c>
      <c r="E11" s="5">
        <f>E9/E7/(1000000)/0.9</f>
        <v>49.530083340234867</v>
      </c>
      <c r="M11" t="s">
        <v>23</v>
      </c>
      <c r="N11" s="5">
        <f>N9/N7/(1000000)/0.9</f>
        <v>64.473325946585362</v>
      </c>
    </row>
    <row r="12" spans="1:19" x14ac:dyDescent="0.15">
      <c r="D12" t="s">
        <v>24</v>
      </c>
      <c r="E12" s="5">
        <f>E10/E7/(1000000)</f>
        <v>70.046448087431685</v>
      </c>
      <c r="M12" t="s">
        <v>24</v>
      </c>
      <c r="N12" s="5">
        <f>N10/N7/(1000000)</f>
        <v>80.729508196721298</v>
      </c>
    </row>
    <row r="13" spans="1:19" x14ac:dyDescent="0.15">
      <c r="D13" t="s">
        <v>25</v>
      </c>
      <c r="E13">
        <v>100</v>
      </c>
      <c r="M13" t="s">
        <v>25</v>
      </c>
      <c r="N13">
        <v>100</v>
      </c>
    </row>
    <row r="14" spans="1:19" x14ac:dyDescent="0.15">
      <c r="D14" t="s">
        <v>26</v>
      </c>
      <c r="E14">
        <v>240</v>
      </c>
      <c r="M14" t="s">
        <v>26</v>
      </c>
      <c r="N14">
        <v>240</v>
      </c>
    </row>
    <row r="15" spans="1:19" x14ac:dyDescent="0.15">
      <c r="D15" t="s">
        <v>27</v>
      </c>
      <c r="E15">
        <f>E11^2/E13^2+E12^2/E14^2</f>
        <v>0.33050529212574975</v>
      </c>
      <c r="M15" t="s">
        <v>27</v>
      </c>
      <c r="N15">
        <f>N11^2/N13^2+N12^2/N14^2</f>
        <v>0.52882773790459725</v>
      </c>
    </row>
    <row r="17" spans="4:18" ht="15.75" x14ac:dyDescent="0.15">
      <c r="D17" t="s">
        <v>28</v>
      </c>
      <c r="E17" s="6">
        <f>E6</f>
        <v>1212.5</v>
      </c>
      <c r="F17" s="6">
        <f>F6</f>
        <v>1076.8</v>
      </c>
      <c r="G17" s="6">
        <f>G6</f>
        <v>2557.6</v>
      </c>
      <c r="H17" s="6">
        <f>I6</f>
        <v>6.1</v>
      </c>
      <c r="I17" s="6">
        <f>J6</f>
        <v>9.9</v>
      </c>
      <c r="M17" t="s">
        <v>29</v>
      </c>
      <c r="N17" s="4">
        <f>N6</f>
        <v>1568.7</v>
      </c>
      <c r="O17" s="4">
        <f>O6</f>
        <v>1412.4</v>
      </c>
      <c r="P17" s="4">
        <f>P6</f>
        <v>2947.7</v>
      </c>
      <c r="Q17" s="4">
        <f>R6</f>
        <v>7</v>
      </c>
      <c r="R17" s="4">
        <f>S6</f>
        <v>12.9</v>
      </c>
    </row>
    <row r="18" spans="4:18" ht="15.75" x14ac:dyDescent="0.15">
      <c r="D18" t="s">
        <v>29</v>
      </c>
      <c r="E18" s="6">
        <f>N6</f>
        <v>1568.7</v>
      </c>
      <c r="F18" s="6">
        <f>O6</f>
        <v>1412.4</v>
      </c>
      <c r="G18" s="6">
        <f>P6</f>
        <v>2947.7</v>
      </c>
      <c r="H18" s="6">
        <f>R6</f>
        <v>7</v>
      </c>
      <c r="I18" s="6">
        <f>S6</f>
        <v>12.9</v>
      </c>
    </row>
    <row r="19" spans="4:18" s="5" customFormat="1" ht="15.75" x14ac:dyDescent="0.15">
      <c r="D19" s="5" t="s">
        <v>30</v>
      </c>
      <c r="E19" s="7">
        <f>E11</f>
        <v>49.530083340234867</v>
      </c>
      <c r="F19" s="7">
        <v>100</v>
      </c>
      <c r="G19" s="7">
        <f>E12</f>
        <v>70.046448087431685</v>
      </c>
      <c r="H19" s="7">
        <v>240</v>
      </c>
      <c r="I19" s="7">
        <f>E15</f>
        <v>0.33050529212574975</v>
      </c>
      <c r="M19" s="5" t="s">
        <v>31</v>
      </c>
      <c r="N19" s="5">
        <f>N11</f>
        <v>64.473325946585362</v>
      </c>
      <c r="O19" s="5">
        <f>N13</f>
        <v>100</v>
      </c>
      <c r="P19" s="5">
        <f>N12</f>
        <v>80.729508196721298</v>
      </c>
      <c r="Q19" s="5">
        <f>N14</f>
        <v>240</v>
      </c>
      <c r="R19" s="5">
        <f>N15</f>
        <v>0.52882773790459725</v>
      </c>
    </row>
    <row r="20" spans="4:18" ht="15.75" x14ac:dyDescent="0.15">
      <c r="D20" s="5" t="s">
        <v>31</v>
      </c>
      <c r="E20" s="7">
        <f>N11</f>
        <v>64.473325946585362</v>
      </c>
      <c r="F20" s="7">
        <v>100</v>
      </c>
      <c r="G20" s="7">
        <f>N12</f>
        <v>80.729508196721298</v>
      </c>
      <c r="H20" s="7">
        <v>240</v>
      </c>
      <c r="I20" s="7">
        <f>N15</f>
        <v>0.52882773790459725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T62"/>
  <sheetViews>
    <sheetView topLeftCell="A21" workbookViewId="0">
      <selection activeCell="N48" sqref="N48:S48"/>
    </sheetView>
  </sheetViews>
  <sheetFormatPr defaultRowHeight="13.5" x14ac:dyDescent="0.15"/>
  <cols>
    <col min="4" max="4" width="13.375" customWidth="1"/>
    <col min="5" max="5" width="9.5" bestFit="1" customWidth="1"/>
    <col min="8" max="8" width="11.375" customWidth="1"/>
    <col min="14" max="14" width="9.5" bestFit="1" customWidth="1"/>
    <col min="17" max="17" width="10.25" customWidth="1"/>
    <col min="261" max="261" width="9.5" bestFit="1" customWidth="1"/>
    <col min="264" max="264" width="9.5" bestFit="1" customWidth="1"/>
    <col min="270" max="270" width="9.5" bestFit="1" customWidth="1"/>
    <col min="517" max="517" width="9.5" bestFit="1" customWidth="1"/>
    <col min="520" max="520" width="9.5" bestFit="1" customWidth="1"/>
    <col min="526" max="526" width="9.5" bestFit="1" customWidth="1"/>
    <col min="773" max="773" width="9.5" bestFit="1" customWidth="1"/>
    <col min="776" max="776" width="9.5" bestFit="1" customWidth="1"/>
    <col min="782" max="782" width="9.5" bestFit="1" customWidth="1"/>
    <col min="1029" max="1029" width="9.5" bestFit="1" customWidth="1"/>
    <col min="1032" max="1032" width="9.5" bestFit="1" customWidth="1"/>
    <col min="1038" max="1038" width="9.5" bestFit="1" customWidth="1"/>
    <col min="1285" max="1285" width="9.5" bestFit="1" customWidth="1"/>
    <col min="1288" max="1288" width="9.5" bestFit="1" customWidth="1"/>
    <col min="1294" max="1294" width="9.5" bestFit="1" customWidth="1"/>
    <col min="1541" max="1541" width="9.5" bestFit="1" customWidth="1"/>
    <col min="1544" max="1544" width="9.5" bestFit="1" customWidth="1"/>
    <col min="1550" max="1550" width="9.5" bestFit="1" customWidth="1"/>
    <col min="1797" max="1797" width="9.5" bestFit="1" customWidth="1"/>
    <col min="1800" max="1800" width="9.5" bestFit="1" customWidth="1"/>
    <col min="1806" max="1806" width="9.5" bestFit="1" customWidth="1"/>
    <col min="2053" max="2053" width="9.5" bestFit="1" customWidth="1"/>
    <col min="2056" max="2056" width="9.5" bestFit="1" customWidth="1"/>
    <col min="2062" max="2062" width="9.5" bestFit="1" customWidth="1"/>
    <col min="2309" max="2309" width="9.5" bestFit="1" customWidth="1"/>
    <col min="2312" max="2312" width="9.5" bestFit="1" customWidth="1"/>
    <col min="2318" max="2318" width="9.5" bestFit="1" customWidth="1"/>
    <col min="2565" max="2565" width="9.5" bestFit="1" customWidth="1"/>
    <col min="2568" max="2568" width="9.5" bestFit="1" customWidth="1"/>
    <col min="2574" max="2574" width="9.5" bestFit="1" customWidth="1"/>
    <col min="2821" max="2821" width="9.5" bestFit="1" customWidth="1"/>
    <col min="2824" max="2824" width="9.5" bestFit="1" customWidth="1"/>
    <col min="2830" max="2830" width="9.5" bestFit="1" customWidth="1"/>
    <col min="3077" max="3077" width="9.5" bestFit="1" customWidth="1"/>
    <col min="3080" max="3080" width="9.5" bestFit="1" customWidth="1"/>
    <col min="3086" max="3086" width="9.5" bestFit="1" customWidth="1"/>
    <col min="3333" max="3333" width="9.5" bestFit="1" customWidth="1"/>
    <col min="3336" max="3336" width="9.5" bestFit="1" customWidth="1"/>
    <col min="3342" max="3342" width="9.5" bestFit="1" customWidth="1"/>
    <col min="3589" max="3589" width="9.5" bestFit="1" customWidth="1"/>
    <col min="3592" max="3592" width="9.5" bestFit="1" customWidth="1"/>
    <col min="3598" max="3598" width="9.5" bestFit="1" customWidth="1"/>
    <col min="3845" max="3845" width="9.5" bestFit="1" customWidth="1"/>
    <col min="3848" max="3848" width="9.5" bestFit="1" customWidth="1"/>
    <col min="3854" max="3854" width="9.5" bestFit="1" customWidth="1"/>
    <col min="4101" max="4101" width="9.5" bestFit="1" customWidth="1"/>
    <col min="4104" max="4104" width="9.5" bestFit="1" customWidth="1"/>
    <col min="4110" max="4110" width="9.5" bestFit="1" customWidth="1"/>
    <col min="4357" max="4357" width="9.5" bestFit="1" customWidth="1"/>
    <col min="4360" max="4360" width="9.5" bestFit="1" customWidth="1"/>
    <col min="4366" max="4366" width="9.5" bestFit="1" customWidth="1"/>
    <col min="4613" max="4613" width="9.5" bestFit="1" customWidth="1"/>
    <col min="4616" max="4616" width="9.5" bestFit="1" customWidth="1"/>
    <col min="4622" max="4622" width="9.5" bestFit="1" customWidth="1"/>
    <col min="4869" max="4869" width="9.5" bestFit="1" customWidth="1"/>
    <col min="4872" max="4872" width="9.5" bestFit="1" customWidth="1"/>
    <col min="4878" max="4878" width="9.5" bestFit="1" customWidth="1"/>
    <col min="5125" max="5125" width="9.5" bestFit="1" customWidth="1"/>
    <col min="5128" max="5128" width="9.5" bestFit="1" customWidth="1"/>
    <col min="5134" max="5134" width="9.5" bestFit="1" customWidth="1"/>
    <col min="5381" max="5381" width="9.5" bestFit="1" customWidth="1"/>
    <col min="5384" max="5384" width="9.5" bestFit="1" customWidth="1"/>
    <col min="5390" max="5390" width="9.5" bestFit="1" customWidth="1"/>
    <col min="5637" max="5637" width="9.5" bestFit="1" customWidth="1"/>
    <col min="5640" max="5640" width="9.5" bestFit="1" customWidth="1"/>
    <col min="5646" max="5646" width="9.5" bestFit="1" customWidth="1"/>
    <col min="5893" max="5893" width="9.5" bestFit="1" customWidth="1"/>
    <col min="5896" max="5896" width="9.5" bestFit="1" customWidth="1"/>
    <col min="5902" max="5902" width="9.5" bestFit="1" customWidth="1"/>
    <col min="6149" max="6149" width="9.5" bestFit="1" customWidth="1"/>
    <col min="6152" max="6152" width="9.5" bestFit="1" customWidth="1"/>
    <col min="6158" max="6158" width="9.5" bestFit="1" customWidth="1"/>
    <col min="6405" max="6405" width="9.5" bestFit="1" customWidth="1"/>
    <col min="6408" max="6408" width="9.5" bestFit="1" customWidth="1"/>
    <col min="6414" max="6414" width="9.5" bestFit="1" customWidth="1"/>
    <col min="6661" max="6661" width="9.5" bestFit="1" customWidth="1"/>
    <col min="6664" max="6664" width="9.5" bestFit="1" customWidth="1"/>
    <col min="6670" max="6670" width="9.5" bestFit="1" customWidth="1"/>
    <col min="6917" max="6917" width="9.5" bestFit="1" customWidth="1"/>
    <col min="6920" max="6920" width="9.5" bestFit="1" customWidth="1"/>
    <col min="6926" max="6926" width="9.5" bestFit="1" customWidth="1"/>
    <col min="7173" max="7173" width="9.5" bestFit="1" customWidth="1"/>
    <col min="7176" max="7176" width="9.5" bestFit="1" customWidth="1"/>
    <col min="7182" max="7182" width="9.5" bestFit="1" customWidth="1"/>
    <col min="7429" max="7429" width="9.5" bestFit="1" customWidth="1"/>
    <col min="7432" max="7432" width="9.5" bestFit="1" customWidth="1"/>
    <col min="7438" max="7438" width="9.5" bestFit="1" customWidth="1"/>
    <col min="7685" max="7685" width="9.5" bestFit="1" customWidth="1"/>
    <col min="7688" max="7688" width="9.5" bestFit="1" customWidth="1"/>
    <col min="7694" max="7694" width="9.5" bestFit="1" customWidth="1"/>
    <col min="7941" max="7941" width="9.5" bestFit="1" customWidth="1"/>
    <col min="7944" max="7944" width="9.5" bestFit="1" customWidth="1"/>
    <col min="7950" max="7950" width="9.5" bestFit="1" customWidth="1"/>
    <col min="8197" max="8197" width="9.5" bestFit="1" customWidth="1"/>
    <col min="8200" max="8200" width="9.5" bestFit="1" customWidth="1"/>
    <col min="8206" max="8206" width="9.5" bestFit="1" customWidth="1"/>
    <col min="8453" max="8453" width="9.5" bestFit="1" customWidth="1"/>
    <col min="8456" max="8456" width="9.5" bestFit="1" customWidth="1"/>
    <col min="8462" max="8462" width="9.5" bestFit="1" customWidth="1"/>
    <col min="8709" max="8709" width="9.5" bestFit="1" customWidth="1"/>
    <col min="8712" max="8712" width="9.5" bestFit="1" customWidth="1"/>
    <col min="8718" max="8718" width="9.5" bestFit="1" customWidth="1"/>
    <col min="8965" max="8965" width="9.5" bestFit="1" customWidth="1"/>
    <col min="8968" max="8968" width="9.5" bestFit="1" customWidth="1"/>
    <col min="8974" max="8974" width="9.5" bestFit="1" customWidth="1"/>
    <col min="9221" max="9221" width="9.5" bestFit="1" customWidth="1"/>
    <col min="9224" max="9224" width="9.5" bestFit="1" customWidth="1"/>
    <col min="9230" max="9230" width="9.5" bestFit="1" customWidth="1"/>
    <col min="9477" max="9477" width="9.5" bestFit="1" customWidth="1"/>
    <col min="9480" max="9480" width="9.5" bestFit="1" customWidth="1"/>
    <col min="9486" max="9486" width="9.5" bestFit="1" customWidth="1"/>
    <col min="9733" max="9733" width="9.5" bestFit="1" customWidth="1"/>
    <col min="9736" max="9736" width="9.5" bestFit="1" customWidth="1"/>
    <col min="9742" max="9742" width="9.5" bestFit="1" customWidth="1"/>
    <col min="9989" max="9989" width="9.5" bestFit="1" customWidth="1"/>
    <col min="9992" max="9992" width="9.5" bestFit="1" customWidth="1"/>
    <col min="9998" max="9998" width="9.5" bestFit="1" customWidth="1"/>
    <col min="10245" max="10245" width="9.5" bestFit="1" customWidth="1"/>
    <col min="10248" max="10248" width="9.5" bestFit="1" customWidth="1"/>
    <col min="10254" max="10254" width="9.5" bestFit="1" customWidth="1"/>
    <col min="10501" max="10501" width="9.5" bestFit="1" customWidth="1"/>
    <col min="10504" max="10504" width="9.5" bestFit="1" customWidth="1"/>
    <col min="10510" max="10510" width="9.5" bestFit="1" customWidth="1"/>
    <col min="10757" max="10757" width="9.5" bestFit="1" customWidth="1"/>
    <col min="10760" max="10760" width="9.5" bestFit="1" customWidth="1"/>
    <col min="10766" max="10766" width="9.5" bestFit="1" customWidth="1"/>
    <col min="11013" max="11013" width="9.5" bestFit="1" customWidth="1"/>
    <col min="11016" max="11016" width="9.5" bestFit="1" customWidth="1"/>
    <col min="11022" max="11022" width="9.5" bestFit="1" customWidth="1"/>
    <col min="11269" max="11269" width="9.5" bestFit="1" customWidth="1"/>
    <col min="11272" max="11272" width="9.5" bestFit="1" customWidth="1"/>
    <col min="11278" max="11278" width="9.5" bestFit="1" customWidth="1"/>
    <col min="11525" max="11525" width="9.5" bestFit="1" customWidth="1"/>
    <col min="11528" max="11528" width="9.5" bestFit="1" customWidth="1"/>
    <col min="11534" max="11534" width="9.5" bestFit="1" customWidth="1"/>
    <col min="11781" max="11781" width="9.5" bestFit="1" customWidth="1"/>
    <col min="11784" max="11784" width="9.5" bestFit="1" customWidth="1"/>
    <col min="11790" max="11790" width="9.5" bestFit="1" customWidth="1"/>
    <col min="12037" max="12037" width="9.5" bestFit="1" customWidth="1"/>
    <col min="12040" max="12040" width="9.5" bestFit="1" customWidth="1"/>
    <col min="12046" max="12046" width="9.5" bestFit="1" customWidth="1"/>
    <col min="12293" max="12293" width="9.5" bestFit="1" customWidth="1"/>
    <col min="12296" max="12296" width="9.5" bestFit="1" customWidth="1"/>
    <col min="12302" max="12302" width="9.5" bestFit="1" customWidth="1"/>
    <col min="12549" max="12549" width="9.5" bestFit="1" customWidth="1"/>
    <col min="12552" max="12552" width="9.5" bestFit="1" customWidth="1"/>
    <col min="12558" max="12558" width="9.5" bestFit="1" customWidth="1"/>
    <col min="12805" max="12805" width="9.5" bestFit="1" customWidth="1"/>
    <col min="12808" max="12808" width="9.5" bestFit="1" customWidth="1"/>
    <col min="12814" max="12814" width="9.5" bestFit="1" customWidth="1"/>
    <col min="13061" max="13061" width="9.5" bestFit="1" customWidth="1"/>
    <col min="13064" max="13064" width="9.5" bestFit="1" customWidth="1"/>
    <col min="13070" max="13070" width="9.5" bestFit="1" customWidth="1"/>
    <col min="13317" max="13317" width="9.5" bestFit="1" customWidth="1"/>
    <col min="13320" max="13320" width="9.5" bestFit="1" customWidth="1"/>
    <col min="13326" max="13326" width="9.5" bestFit="1" customWidth="1"/>
    <col min="13573" max="13573" width="9.5" bestFit="1" customWidth="1"/>
    <col min="13576" max="13576" width="9.5" bestFit="1" customWidth="1"/>
    <col min="13582" max="13582" width="9.5" bestFit="1" customWidth="1"/>
    <col min="13829" max="13829" width="9.5" bestFit="1" customWidth="1"/>
    <col min="13832" max="13832" width="9.5" bestFit="1" customWidth="1"/>
    <col min="13838" max="13838" width="9.5" bestFit="1" customWidth="1"/>
    <col min="14085" max="14085" width="9.5" bestFit="1" customWidth="1"/>
    <col min="14088" max="14088" width="9.5" bestFit="1" customWidth="1"/>
    <col min="14094" max="14094" width="9.5" bestFit="1" customWidth="1"/>
    <col min="14341" max="14341" width="9.5" bestFit="1" customWidth="1"/>
    <col min="14344" max="14344" width="9.5" bestFit="1" customWidth="1"/>
    <col min="14350" max="14350" width="9.5" bestFit="1" customWidth="1"/>
    <col min="14597" max="14597" width="9.5" bestFit="1" customWidth="1"/>
    <col min="14600" max="14600" width="9.5" bestFit="1" customWidth="1"/>
    <col min="14606" max="14606" width="9.5" bestFit="1" customWidth="1"/>
    <col min="14853" max="14853" width="9.5" bestFit="1" customWidth="1"/>
    <col min="14856" max="14856" width="9.5" bestFit="1" customWidth="1"/>
    <col min="14862" max="14862" width="9.5" bestFit="1" customWidth="1"/>
    <col min="15109" max="15109" width="9.5" bestFit="1" customWidth="1"/>
    <col min="15112" max="15112" width="9.5" bestFit="1" customWidth="1"/>
    <col min="15118" max="15118" width="9.5" bestFit="1" customWidth="1"/>
    <col min="15365" max="15365" width="9.5" bestFit="1" customWidth="1"/>
    <col min="15368" max="15368" width="9.5" bestFit="1" customWidth="1"/>
    <col min="15374" max="15374" width="9.5" bestFit="1" customWidth="1"/>
    <col min="15621" max="15621" width="9.5" bestFit="1" customWidth="1"/>
    <col min="15624" max="15624" width="9.5" bestFit="1" customWidth="1"/>
    <col min="15630" max="15630" width="9.5" bestFit="1" customWidth="1"/>
    <col min="15877" max="15877" width="9.5" bestFit="1" customWidth="1"/>
    <col min="15880" max="15880" width="9.5" bestFit="1" customWidth="1"/>
    <col min="15886" max="15886" width="9.5" bestFit="1" customWidth="1"/>
    <col min="16133" max="16133" width="9.5" bestFit="1" customWidth="1"/>
    <col min="16136" max="16136" width="9.5" bestFit="1" customWidth="1"/>
    <col min="16142" max="16142" width="9.5" bestFit="1" customWidth="1"/>
  </cols>
  <sheetData>
    <row r="8" spans="3:20" x14ac:dyDescent="0.15">
      <c r="C8" s="46"/>
      <c r="D8" t="s">
        <v>0</v>
      </c>
      <c r="E8" t="s">
        <v>1</v>
      </c>
      <c r="F8" t="s">
        <v>2</v>
      </c>
      <c r="G8" t="s">
        <v>3</v>
      </c>
      <c r="H8" t="s">
        <v>4</v>
      </c>
      <c r="I8" t="s">
        <v>5</v>
      </c>
      <c r="J8" t="s">
        <v>6</v>
      </c>
      <c r="L8" s="46"/>
      <c r="M8" t="s">
        <v>0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s">
        <v>6</v>
      </c>
    </row>
    <row r="9" spans="3:20" x14ac:dyDescent="0.15">
      <c r="D9">
        <v>65</v>
      </c>
      <c r="E9">
        <v>-506.54</v>
      </c>
      <c r="F9">
        <v>-459.15</v>
      </c>
      <c r="G9">
        <v>-131.16</v>
      </c>
      <c r="H9" s="2">
        <v>-9.6801000000000005E-3</v>
      </c>
      <c r="I9">
        <v>-13.936</v>
      </c>
      <c r="J9">
        <v>-79.052999999999997</v>
      </c>
      <c r="K9" s="2">
        <v>-3.3666999999999998E-3</v>
      </c>
      <c r="M9">
        <v>65</v>
      </c>
      <c r="N9">
        <v>-1112.3</v>
      </c>
      <c r="O9">
        <v>-1072.0999999999999</v>
      </c>
      <c r="P9">
        <v>-574.92999999999995</v>
      </c>
      <c r="Q9" s="2">
        <v>-2.2443999999999999E-2</v>
      </c>
      <c r="R9">
        <v>-29.558</v>
      </c>
      <c r="S9">
        <v>-175.03</v>
      </c>
      <c r="T9" s="2">
        <v>-7.3324000000000002E-3</v>
      </c>
    </row>
    <row r="10" spans="3:20" x14ac:dyDescent="0.15">
      <c r="D10">
        <v>73</v>
      </c>
      <c r="E10" s="2">
        <v>-403.57</v>
      </c>
      <c r="F10">
        <v>-355.86</v>
      </c>
      <c r="G10">
        <v>-80.012</v>
      </c>
      <c r="H10" s="2">
        <v>-9.3478999999999993E-3</v>
      </c>
      <c r="I10">
        <v>-10.205</v>
      </c>
      <c r="J10" s="2">
        <v>-55.173999999999999</v>
      </c>
      <c r="K10" s="2">
        <v>-4.4009000000000001E-3</v>
      </c>
      <c r="M10">
        <v>73</v>
      </c>
      <c r="N10" s="2">
        <v>-900.26</v>
      </c>
      <c r="O10">
        <v>-834.96</v>
      </c>
      <c r="P10">
        <v>-479.68</v>
      </c>
      <c r="Q10" s="2">
        <v>-2.1676000000000001E-2</v>
      </c>
      <c r="R10">
        <v>-21.667999999999999</v>
      </c>
      <c r="S10" s="2">
        <v>-123.31</v>
      </c>
      <c r="T10" s="2">
        <v>-9.6269000000000007E-3</v>
      </c>
    </row>
    <row r="11" spans="3:20" x14ac:dyDescent="0.15">
      <c r="D11">
        <v>81</v>
      </c>
      <c r="E11">
        <v>-329.66</v>
      </c>
      <c r="F11">
        <v>-283.97000000000003</v>
      </c>
      <c r="G11">
        <v>-69.483000000000004</v>
      </c>
      <c r="H11" s="2">
        <v>-8.1930000000000006E-3</v>
      </c>
      <c r="I11">
        <v>-7.6329000000000002</v>
      </c>
      <c r="J11">
        <v>-40.067</v>
      </c>
      <c r="K11" s="2">
        <v>-5.1006000000000003E-3</v>
      </c>
      <c r="M11">
        <v>81</v>
      </c>
      <c r="N11">
        <v>-747.38</v>
      </c>
      <c r="O11">
        <v>-667.97</v>
      </c>
      <c r="P11">
        <v>-460.11</v>
      </c>
      <c r="Q11" s="2">
        <v>-1.9002000000000002E-2</v>
      </c>
      <c r="R11">
        <v>-15.936</v>
      </c>
      <c r="S11">
        <v>-87.721999999999994</v>
      </c>
      <c r="T11" s="2">
        <v>-1.1225000000000001E-2</v>
      </c>
    </row>
    <row r="12" spans="3:20" x14ac:dyDescent="0.15">
      <c r="D12">
        <v>89</v>
      </c>
      <c r="E12">
        <v>-278.02999999999997</v>
      </c>
      <c r="F12">
        <v>-254.07</v>
      </c>
      <c r="G12">
        <v>-36.063000000000002</v>
      </c>
      <c r="H12" s="2">
        <v>-5.8956E-3</v>
      </c>
      <c r="I12">
        <v>-5.3586999999999998</v>
      </c>
      <c r="J12">
        <v>-27.652999999999999</v>
      </c>
      <c r="K12" s="2">
        <v>-4.7352000000000002E-3</v>
      </c>
      <c r="M12">
        <v>89</v>
      </c>
      <c r="N12">
        <v>-644.49</v>
      </c>
      <c r="O12">
        <v>-597.85</v>
      </c>
      <c r="P12">
        <v>-398.45</v>
      </c>
      <c r="Q12" s="2">
        <v>-1.3677E-2</v>
      </c>
      <c r="R12">
        <v>-10.962999999999999</v>
      </c>
      <c r="S12">
        <v>-59.828000000000003</v>
      </c>
      <c r="T12" s="2">
        <v>-1.0477E-2</v>
      </c>
    </row>
    <row r="13" spans="3:20" x14ac:dyDescent="0.15">
      <c r="D13">
        <v>97</v>
      </c>
      <c r="E13">
        <v>-493.14</v>
      </c>
      <c r="F13">
        <v>-446.24</v>
      </c>
      <c r="G13">
        <v>-295.20999999999998</v>
      </c>
      <c r="H13" s="2">
        <v>-9.7943000000000006E-3</v>
      </c>
      <c r="I13">
        <v>-17.968</v>
      </c>
      <c r="J13">
        <v>-26.812000000000001</v>
      </c>
      <c r="K13" s="2">
        <v>-5.4887999999999996E-4</v>
      </c>
      <c r="M13">
        <v>97</v>
      </c>
      <c r="N13">
        <v>-1064.7</v>
      </c>
      <c r="O13">
        <v>-1043.7</v>
      </c>
      <c r="P13">
        <v>-828.08</v>
      </c>
      <c r="Q13" s="2">
        <v>-2.2685E-2</v>
      </c>
      <c r="R13">
        <v>-36.546999999999997</v>
      </c>
      <c r="S13">
        <v>-62.710999999999999</v>
      </c>
      <c r="T13" s="2">
        <v>-1.2828E-3</v>
      </c>
    </row>
    <row r="14" spans="3:20" x14ac:dyDescent="0.15">
      <c r="D14">
        <v>105</v>
      </c>
      <c r="E14" s="2">
        <v>-389.38</v>
      </c>
      <c r="F14">
        <v>-366.38</v>
      </c>
      <c r="G14">
        <v>-210.43</v>
      </c>
      <c r="H14" s="2">
        <v>-9.4778999999999992E-3</v>
      </c>
      <c r="I14">
        <v>-13.086</v>
      </c>
      <c r="J14">
        <v>-23.024999999999999</v>
      </c>
      <c r="K14" s="2">
        <v>-6.6536999999999998E-4</v>
      </c>
      <c r="M14">
        <v>105</v>
      </c>
      <c r="N14" s="2">
        <v>-854.6</v>
      </c>
      <c r="O14">
        <v>-859.76</v>
      </c>
      <c r="P14">
        <v>-666.98</v>
      </c>
      <c r="Q14" s="2">
        <v>-2.1950999999999998E-2</v>
      </c>
      <c r="R14">
        <v>-26.672999999999998</v>
      </c>
      <c r="S14">
        <v>-53.872</v>
      </c>
      <c r="T14" s="2">
        <v>-1.5587000000000001E-3</v>
      </c>
    </row>
    <row r="15" spans="3:20" x14ac:dyDescent="0.15">
      <c r="D15">
        <v>113</v>
      </c>
      <c r="E15">
        <v>-319.26</v>
      </c>
      <c r="F15">
        <v>-299.16000000000003</v>
      </c>
      <c r="G15">
        <v>-192.42</v>
      </c>
      <c r="H15" s="2">
        <v>-8.3382000000000005E-3</v>
      </c>
      <c r="I15">
        <v>-10.097</v>
      </c>
      <c r="J15">
        <v>-18.344000000000001</v>
      </c>
      <c r="K15" s="2">
        <v>-7.8680999999999998E-4</v>
      </c>
      <c r="M15">
        <v>113</v>
      </c>
      <c r="N15">
        <v>-712.52</v>
      </c>
      <c r="O15">
        <v>-707.05</v>
      </c>
      <c r="P15">
        <v>-632.78</v>
      </c>
      <c r="Q15" s="2">
        <v>-1.9307999999999999E-2</v>
      </c>
      <c r="R15">
        <v>-20.45</v>
      </c>
      <c r="S15">
        <v>-43.067999999999998</v>
      </c>
      <c r="T15" s="2">
        <v>-1.8466000000000001E-3</v>
      </c>
    </row>
    <row r="16" spans="3:20" x14ac:dyDescent="0.15">
      <c r="D16">
        <v>121</v>
      </c>
      <c r="E16">
        <v>-268.95999999999998</v>
      </c>
      <c r="F16">
        <v>-262.10000000000002</v>
      </c>
      <c r="G16">
        <v>-133.69</v>
      </c>
      <c r="H16" s="2">
        <v>-6.0296999999999998E-3</v>
      </c>
      <c r="I16">
        <v>-7.3856999999999999</v>
      </c>
      <c r="J16" s="2">
        <v>-13.269</v>
      </c>
      <c r="K16" s="2">
        <v>-7.7528999999999999E-4</v>
      </c>
      <c r="M16">
        <v>121</v>
      </c>
      <c r="N16">
        <v>-615.48</v>
      </c>
      <c r="O16">
        <v>-624.38</v>
      </c>
      <c r="P16">
        <v>-521.92999999999995</v>
      </c>
      <c r="Q16" s="2">
        <v>-1.396E-2</v>
      </c>
      <c r="R16">
        <v>-14.875</v>
      </c>
      <c r="S16" s="2">
        <v>-31.346</v>
      </c>
      <c r="T16" s="2">
        <v>-1.8239E-3</v>
      </c>
    </row>
    <row r="17" spans="4:20" x14ac:dyDescent="0.15">
      <c r="D17">
        <v>129</v>
      </c>
      <c r="E17">
        <v>-506.54</v>
      </c>
      <c r="F17">
        <v>-459.14</v>
      </c>
      <c r="G17">
        <v>-131.16</v>
      </c>
      <c r="H17" s="2">
        <v>-9.6801000000000005E-3</v>
      </c>
      <c r="I17">
        <v>-13.936</v>
      </c>
      <c r="J17">
        <v>-80.269000000000005</v>
      </c>
      <c r="K17" s="2">
        <v>-3.3666999999999998E-3</v>
      </c>
      <c r="M17">
        <v>129</v>
      </c>
      <c r="N17">
        <v>-1112.3</v>
      </c>
      <c r="O17">
        <v>-1072.0999999999999</v>
      </c>
      <c r="P17">
        <v>-574.92999999999995</v>
      </c>
      <c r="Q17" s="2">
        <v>-2.2443999999999999E-2</v>
      </c>
      <c r="R17">
        <v>-29.558</v>
      </c>
      <c r="S17">
        <v>-176.25</v>
      </c>
      <c r="T17" s="2">
        <v>-7.3324000000000002E-3</v>
      </c>
    </row>
    <row r="18" spans="4:20" x14ac:dyDescent="0.15">
      <c r="D18">
        <v>137</v>
      </c>
      <c r="E18">
        <v>-403.57</v>
      </c>
      <c r="F18">
        <v>-355.17</v>
      </c>
      <c r="G18">
        <v>-80.012</v>
      </c>
      <c r="H18" s="2">
        <v>-9.3478999999999993E-3</v>
      </c>
      <c r="I18">
        <v>-10.205</v>
      </c>
      <c r="J18">
        <v>-55.863</v>
      </c>
      <c r="K18" s="2">
        <v>-4.4009000000000001E-3</v>
      </c>
      <c r="M18">
        <v>137</v>
      </c>
      <c r="N18">
        <v>-900.26</v>
      </c>
      <c r="O18">
        <v>-834.28</v>
      </c>
      <c r="P18">
        <v>-479.68</v>
      </c>
      <c r="Q18" s="2">
        <v>-2.1676000000000001E-2</v>
      </c>
      <c r="R18">
        <v>-21.667999999999999</v>
      </c>
      <c r="S18">
        <v>-124</v>
      </c>
      <c r="T18" s="2">
        <v>-9.6269000000000007E-3</v>
      </c>
    </row>
    <row r="19" spans="4:20" x14ac:dyDescent="0.15">
      <c r="D19">
        <v>145</v>
      </c>
      <c r="E19">
        <v>-329.66</v>
      </c>
      <c r="F19">
        <v>-283.02</v>
      </c>
      <c r="G19">
        <v>-69.483000000000004</v>
      </c>
      <c r="H19" s="2">
        <v>-8.1930000000000006E-3</v>
      </c>
      <c r="I19">
        <v>-7.6329000000000002</v>
      </c>
      <c r="J19">
        <v>-40.359000000000002</v>
      </c>
      <c r="K19" s="2">
        <v>-5.1006000000000003E-3</v>
      </c>
      <c r="M19">
        <v>145</v>
      </c>
      <c r="N19">
        <v>-747.38</v>
      </c>
      <c r="O19">
        <v>-667.02</v>
      </c>
      <c r="P19">
        <v>-460.11</v>
      </c>
      <c r="Q19" s="2">
        <v>-1.9002000000000002E-2</v>
      </c>
      <c r="R19">
        <v>-15.936</v>
      </c>
      <c r="S19">
        <v>-88.013999999999996</v>
      </c>
      <c r="T19" s="2">
        <v>-1.1225000000000001E-2</v>
      </c>
    </row>
    <row r="20" spans="4:20" x14ac:dyDescent="0.15">
      <c r="D20">
        <v>153</v>
      </c>
      <c r="E20">
        <v>-278.02999999999997</v>
      </c>
      <c r="F20">
        <v>-253.05</v>
      </c>
      <c r="G20">
        <v>-36.063000000000002</v>
      </c>
      <c r="H20" s="2">
        <v>-5.8956E-3</v>
      </c>
      <c r="I20">
        <v>-5.3586999999999998</v>
      </c>
      <c r="J20">
        <v>-27.698</v>
      </c>
      <c r="K20" s="2">
        <v>-4.7352000000000002E-3</v>
      </c>
      <c r="M20">
        <v>153</v>
      </c>
      <c r="N20">
        <v>-644.49</v>
      </c>
      <c r="O20">
        <v>-596.83000000000004</v>
      </c>
      <c r="P20">
        <v>-398.45</v>
      </c>
      <c r="Q20" s="2">
        <v>-1.3677E-2</v>
      </c>
      <c r="R20">
        <v>-10.962999999999999</v>
      </c>
      <c r="S20">
        <v>-59.872999999999998</v>
      </c>
      <c r="T20" s="2">
        <v>-1.0477E-2</v>
      </c>
    </row>
    <row r="21" spans="4:20" x14ac:dyDescent="0.15">
      <c r="D21">
        <v>65</v>
      </c>
      <c r="E21">
        <v>504.95</v>
      </c>
      <c r="F21">
        <v>459.14</v>
      </c>
      <c r="G21">
        <v>756.73</v>
      </c>
      <c r="H21" s="2">
        <v>9.6801000000000005E-3</v>
      </c>
      <c r="I21">
        <v>13.987</v>
      </c>
      <c r="J21">
        <v>80.269000000000005</v>
      </c>
      <c r="K21" s="2">
        <v>3.3666999999999998E-3</v>
      </c>
      <c r="M21">
        <v>65</v>
      </c>
      <c r="N21">
        <v>1110.7</v>
      </c>
      <c r="O21">
        <v>1072.0999999999999</v>
      </c>
      <c r="P21">
        <v>1200.5</v>
      </c>
      <c r="Q21" s="2">
        <v>2.2443999999999999E-2</v>
      </c>
      <c r="R21">
        <v>29.609000000000002</v>
      </c>
      <c r="S21">
        <v>176.25</v>
      </c>
      <c r="T21" s="2">
        <v>7.3324000000000002E-3</v>
      </c>
    </row>
    <row r="22" spans="4:20" x14ac:dyDescent="0.15">
      <c r="D22">
        <v>73</v>
      </c>
      <c r="E22">
        <v>402.59</v>
      </c>
      <c r="F22">
        <v>355.17</v>
      </c>
      <c r="G22">
        <v>705.58</v>
      </c>
      <c r="H22" s="2">
        <v>9.3478999999999993E-3</v>
      </c>
      <c r="I22">
        <v>10.237</v>
      </c>
      <c r="J22">
        <v>55.863</v>
      </c>
      <c r="K22" s="2">
        <v>4.4009000000000001E-3</v>
      </c>
      <c r="M22">
        <v>73</v>
      </c>
      <c r="N22">
        <v>899.29</v>
      </c>
      <c r="O22">
        <v>834.28</v>
      </c>
      <c r="P22">
        <v>1105.2</v>
      </c>
      <c r="Q22" s="2">
        <v>2.1676000000000001E-2</v>
      </c>
      <c r="R22">
        <v>21.7</v>
      </c>
      <c r="S22">
        <v>124</v>
      </c>
      <c r="T22" s="2">
        <v>9.6269000000000007E-3</v>
      </c>
    </row>
    <row r="23" spans="4:20" x14ac:dyDescent="0.15">
      <c r="D23">
        <v>81</v>
      </c>
      <c r="E23">
        <v>329.18</v>
      </c>
      <c r="F23">
        <v>283.02</v>
      </c>
      <c r="G23">
        <v>695.06</v>
      </c>
      <c r="H23" s="2">
        <v>8.1930000000000006E-3</v>
      </c>
      <c r="I23">
        <v>7.6487999999999996</v>
      </c>
      <c r="J23">
        <v>40.359000000000002</v>
      </c>
      <c r="K23" s="2">
        <v>5.1006000000000003E-3</v>
      </c>
      <c r="M23">
        <v>81</v>
      </c>
      <c r="N23">
        <v>746.91</v>
      </c>
      <c r="O23">
        <v>667.02</v>
      </c>
      <c r="P23">
        <v>1085.7</v>
      </c>
      <c r="Q23" s="2">
        <v>1.9002000000000002E-2</v>
      </c>
      <c r="R23">
        <v>15.952</v>
      </c>
      <c r="S23">
        <v>88.013999999999996</v>
      </c>
      <c r="T23" s="2">
        <v>1.1225000000000001E-2</v>
      </c>
    </row>
    <row r="24" spans="4:20" x14ac:dyDescent="0.15">
      <c r="D24">
        <v>89</v>
      </c>
      <c r="E24">
        <v>277.89</v>
      </c>
      <c r="F24">
        <v>253.05</v>
      </c>
      <c r="G24">
        <v>661.64</v>
      </c>
      <c r="H24" s="2">
        <v>5.8956E-3</v>
      </c>
      <c r="I24">
        <v>5.3638000000000003</v>
      </c>
      <c r="J24">
        <v>27.698</v>
      </c>
      <c r="K24" s="2">
        <v>4.7352000000000002E-3</v>
      </c>
      <c r="M24">
        <v>89</v>
      </c>
      <c r="N24">
        <v>644.35</v>
      </c>
      <c r="O24">
        <v>596.83000000000004</v>
      </c>
      <c r="P24">
        <v>1024</v>
      </c>
      <c r="Q24" s="2">
        <v>1.3677E-2</v>
      </c>
      <c r="R24">
        <v>10.968</v>
      </c>
      <c r="S24">
        <v>59.872999999999998</v>
      </c>
      <c r="T24" s="2">
        <v>1.0477E-2</v>
      </c>
    </row>
    <row r="25" spans="4:20" x14ac:dyDescent="0.15">
      <c r="D25">
        <v>97</v>
      </c>
      <c r="E25">
        <v>496.34</v>
      </c>
      <c r="F25">
        <v>446.24</v>
      </c>
      <c r="G25">
        <v>810.47</v>
      </c>
      <c r="H25" s="2">
        <v>9.7943000000000006E-3</v>
      </c>
      <c r="I25">
        <v>17.866</v>
      </c>
      <c r="J25">
        <v>26.812000000000001</v>
      </c>
      <c r="K25" s="2">
        <v>5.4887999999999996E-4</v>
      </c>
      <c r="M25">
        <v>97</v>
      </c>
      <c r="N25">
        <v>1067.9000000000001</v>
      </c>
      <c r="O25">
        <v>1043.7</v>
      </c>
      <c r="P25">
        <v>1343.3</v>
      </c>
      <c r="Q25" s="2">
        <v>2.2685E-2</v>
      </c>
      <c r="R25">
        <v>36.444000000000003</v>
      </c>
      <c r="S25">
        <v>62.710999999999999</v>
      </c>
      <c r="T25" s="2">
        <v>1.2828E-3</v>
      </c>
    </row>
    <row r="26" spans="4:20" x14ac:dyDescent="0.15">
      <c r="D26">
        <v>105</v>
      </c>
      <c r="E26">
        <v>391.33</v>
      </c>
      <c r="F26">
        <v>366.38</v>
      </c>
      <c r="G26">
        <v>725.69</v>
      </c>
      <c r="H26" s="2">
        <v>9.4778999999999992E-3</v>
      </c>
      <c r="I26">
        <v>13.022</v>
      </c>
      <c r="J26">
        <v>23.024999999999999</v>
      </c>
      <c r="K26" s="2">
        <v>6.6536999999999998E-4</v>
      </c>
      <c r="M26">
        <v>105</v>
      </c>
      <c r="N26">
        <v>856.54</v>
      </c>
      <c r="O26">
        <v>859.76</v>
      </c>
      <c r="P26">
        <v>1182.2</v>
      </c>
      <c r="Q26" s="2">
        <v>2.1950999999999998E-2</v>
      </c>
      <c r="R26">
        <v>26.609000000000002</v>
      </c>
      <c r="S26">
        <v>53.872</v>
      </c>
      <c r="T26" s="2">
        <v>1.5587000000000001E-3</v>
      </c>
    </row>
    <row r="27" spans="4:20" x14ac:dyDescent="0.15">
      <c r="D27">
        <v>113</v>
      </c>
      <c r="E27">
        <v>320.22000000000003</v>
      </c>
      <c r="F27">
        <v>299.16000000000003</v>
      </c>
      <c r="G27">
        <v>707.67</v>
      </c>
      <c r="H27" s="2">
        <v>8.3382000000000005E-3</v>
      </c>
      <c r="I27">
        <v>10.065</v>
      </c>
      <c r="J27">
        <v>18.344000000000001</v>
      </c>
      <c r="K27" s="2">
        <v>7.8680999999999998E-4</v>
      </c>
      <c r="M27">
        <v>113</v>
      </c>
      <c r="N27">
        <v>713.48</v>
      </c>
      <c r="O27">
        <v>707.05</v>
      </c>
      <c r="P27">
        <v>1148</v>
      </c>
      <c r="Q27" s="2">
        <v>1.9307999999999999E-2</v>
      </c>
      <c r="R27">
        <v>20.417999999999999</v>
      </c>
      <c r="S27">
        <v>43.067999999999998</v>
      </c>
      <c r="T27" s="2">
        <v>1.8466000000000001E-3</v>
      </c>
    </row>
    <row r="28" spans="4:20" x14ac:dyDescent="0.15">
      <c r="D28">
        <v>121</v>
      </c>
      <c r="E28">
        <v>269.24</v>
      </c>
      <c r="F28">
        <v>262.10000000000002</v>
      </c>
      <c r="G28">
        <v>648.92999999999995</v>
      </c>
      <c r="H28" s="2">
        <v>6.0296999999999998E-3</v>
      </c>
      <c r="I28">
        <v>7.3754999999999997</v>
      </c>
      <c r="J28">
        <v>13.269</v>
      </c>
      <c r="K28" s="2">
        <v>7.7528999999999999E-4</v>
      </c>
      <c r="M28">
        <v>121</v>
      </c>
      <c r="N28">
        <v>615.76</v>
      </c>
      <c r="O28">
        <v>624.38</v>
      </c>
      <c r="P28">
        <v>1037.2</v>
      </c>
      <c r="Q28" s="2">
        <v>1.396E-2</v>
      </c>
      <c r="R28">
        <v>14.864000000000001</v>
      </c>
      <c r="S28">
        <v>31.346</v>
      </c>
      <c r="T28" s="2">
        <v>1.8239E-3</v>
      </c>
    </row>
    <row r="29" spans="4:20" x14ac:dyDescent="0.15">
      <c r="D29">
        <v>129</v>
      </c>
      <c r="E29">
        <v>504.95</v>
      </c>
      <c r="F29">
        <v>459.15</v>
      </c>
      <c r="G29">
        <v>756.73</v>
      </c>
      <c r="H29" s="2">
        <v>9.6801000000000005E-3</v>
      </c>
      <c r="I29">
        <v>13.987</v>
      </c>
      <c r="J29">
        <v>79.052999999999997</v>
      </c>
      <c r="K29" s="2">
        <v>3.3666999999999998E-3</v>
      </c>
      <c r="M29">
        <v>129</v>
      </c>
      <c r="N29">
        <v>1110.7</v>
      </c>
      <c r="O29">
        <v>1072.0999999999999</v>
      </c>
      <c r="P29">
        <v>1200.5</v>
      </c>
      <c r="Q29" s="2">
        <v>2.2443999999999999E-2</v>
      </c>
      <c r="R29">
        <v>29.609000000000002</v>
      </c>
      <c r="S29">
        <v>175.03</v>
      </c>
      <c r="T29" s="2">
        <v>7.3324000000000002E-3</v>
      </c>
    </row>
    <row r="30" spans="4:20" x14ac:dyDescent="0.15">
      <c r="D30">
        <v>137</v>
      </c>
      <c r="E30">
        <v>402.59</v>
      </c>
      <c r="F30">
        <v>355.86</v>
      </c>
      <c r="G30">
        <v>705.58</v>
      </c>
      <c r="H30" s="2">
        <v>9.3478999999999993E-3</v>
      </c>
      <c r="I30">
        <v>10.237</v>
      </c>
      <c r="J30">
        <v>55.173999999999999</v>
      </c>
      <c r="K30" s="2">
        <v>4.4009000000000001E-3</v>
      </c>
      <c r="M30">
        <v>137</v>
      </c>
      <c r="N30">
        <v>899.29</v>
      </c>
      <c r="O30">
        <v>834.96</v>
      </c>
      <c r="P30">
        <v>1105.2</v>
      </c>
      <c r="Q30" s="2">
        <v>2.1676000000000001E-2</v>
      </c>
      <c r="R30">
        <v>21.7</v>
      </c>
      <c r="S30">
        <v>123.31</v>
      </c>
      <c r="T30" s="2">
        <v>9.6269000000000007E-3</v>
      </c>
    </row>
    <row r="31" spans="4:20" x14ac:dyDescent="0.15">
      <c r="D31">
        <v>145</v>
      </c>
      <c r="E31">
        <v>329.18</v>
      </c>
      <c r="F31">
        <v>283.97000000000003</v>
      </c>
      <c r="G31">
        <v>695.06</v>
      </c>
      <c r="H31" s="2">
        <v>8.1930000000000006E-3</v>
      </c>
      <c r="I31">
        <v>7.6487999999999996</v>
      </c>
      <c r="J31">
        <v>40.067</v>
      </c>
      <c r="K31" s="2">
        <v>5.1006000000000003E-3</v>
      </c>
      <c r="M31">
        <v>145</v>
      </c>
      <c r="N31">
        <v>746.91</v>
      </c>
      <c r="O31">
        <v>667.97</v>
      </c>
      <c r="P31">
        <v>1085.7</v>
      </c>
      <c r="Q31" s="2">
        <v>1.9002000000000002E-2</v>
      </c>
      <c r="R31">
        <v>15.952</v>
      </c>
      <c r="S31">
        <v>87.721999999999994</v>
      </c>
      <c r="T31" s="2">
        <v>1.1225000000000001E-2</v>
      </c>
    </row>
    <row r="32" spans="4:20" x14ac:dyDescent="0.15">
      <c r="D32">
        <v>153</v>
      </c>
      <c r="E32">
        <v>277.89</v>
      </c>
      <c r="F32">
        <v>254.07</v>
      </c>
      <c r="G32">
        <v>661.64</v>
      </c>
      <c r="H32" s="2">
        <v>5.8956E-3</v>
      </c>
      <c r="I32">
        <v>5.3638000000000003</v>
      </c>
      <c r="J32">
        <v>27.652999999999999</v>
      </c>
      <c r="K32" s="2">
        <v>4.7352000000000002E-3</v>
      </c>
      <c r="M32">
        <v>153</v>
      </c>
      <c r="N32">
        <v>644.35</v>
      </c>
      <c r="O32">
        <v>597.85</v>
      </c>
      <c r="P32">
        <v>1024</v>
      </c>
      <c r="Q32" s="2">
        <v>1.3677E-2</v>
      </c>
      <c r="R32">
        <v>10.968</v>
      </c>
      <c r="S32">
        <v>59.828000000000003</v>
      </c>
      <c r="T32" s="2">
        <v>1.0477E-2</v>
      </c>
    </row>
    <row r="33" spans="4:19" x14ac:dyDescent="0.15">
      <c r="H33" s="2"/>
      <c r="Q33" s="2"/>
    </row>
    <row r="34" spans="4:19" x14ac:dyDescent="0.15">
      <c r="H34" s="2"/>
      <c r="Q34" s="2"/>
    </row>
    <row r="35" spans="4:19" x14ac:dyDescent="0.15">
      <c r="H35" s="2"/>
      <c r="J35" s="2"/>
      <c r="Q35" s="2"/>
    </row>
    <row r="36" spans="4:19" x14ac:dyDescent="0.15">
      <c r="H36" s="2"/>
      <c r="Q36" s="2"/>
    </row>
    <row r="37" spans="4:19" x14ac:dyDescent="0.15">
      <c r="H37" s="2"/>
      <c r="Q37" s="2"/>
    </row>
    <row r="38" spans="4:19" x14ac:dyDescent="0.15">
      <c r="H38" s="2"/>
      <c r="Q38" s="2"/>
    </row>
    <row r="39" spans="4:19" x14ac:dyDescent="0.15">
      <c r="H39" s="2"/>
      <c r="Q39" s="2"/>
    </row>
    <row r="40" spans="4:19" x14ac:dyDescent="0.15">
      <c r="H40" s="2"/>
      <c r="Q40" s="2"/>
    </row>
    <row r="41" spans="4:19" x14ac:dyDescent="0.15">
      <c r="H41" s="2"/>
      <c r="Q41" s="2"/>
    </row>
    <row r="42" spans="4:19" x14ac:dyDescent="0.15">
      <c r="H42" s="2"/>
      <c r="Q42" s="2"/>
    </row>
    <row r="43" spans="4:19" x14ac:dyDescent="0.15">
      <c r="H43" s="2"/>
      <c r="Q43" s="2"/>
    </row>
    <row r="44" spans="4:19" x14ac:dyDescent="0.15">
      <c r="H44" s="2"/>
      <c r="Q44" s="2"/>
    </row>
    <row r="45" spans="4:19" x14ac:dyDescent="0.15">
      <c r="H45" s="2"/>
      <c r="Q45" s="2"/>
    </row>
    <row r="46" spans="4:19" x14ac:dyDescent="0.15">
      <c r="H46" s="2"/>
      <c r="Q46" s="2"/>
    </row>
    <row r="47" spans="4:19" x14ac:dyDescent="0.15">
      <c r="D47" s="1" t="s">
        <v>18</v>
      </c>
      <c r="E47" s="1">
        <f t="array" ref="E47">MAX(ABS(E9:E46))</f>
        <v>506.54</v>
      </c>
      <c r="F47" s="1">
        <f t="array" ref="F47">MAX(ABS(F9:F46))</f>
        <v>459.15</v>
      </c>
      <c r="G47" s="1">
        <f t="array" ref="G47">MAX(ABS(G9:G46))</f>
        <v>810.47</v>
      </c>
      <c r="H47" s="1">
        <f t="array" ref="H47">MAX(ABS(H9:H46))</f>
        <v>9.7943000000000006E-3</v>
      </c>
      <c r="I47" s="1">
        <f t="array" ref="I47">MAX(ABS(I9:I46))</f>
        <v>17.968</v>
      </c>
      <c r="J47" s="1">
        <f t="array" ref="J47">MAX(ABS(J9:J46))</f>
        <v>80.269000000000005</v>
      </c>
      <c r="K47" s="1"/>
      <c r="L47" s="1"/>
      <c r="M47" s="1" t="s">
        <v>18</v>
      </c>
      <c r="N47" s="1">
        <f t="array" ref="N47">MAX(ABS(N9:N46))</f>
        <v>1112.3</v>
      </c>
      <c r="O47" s="1">
        <f t="array" ref="O47">MAX(ABS(O9:O46))</f>
        <v>1072.0999999999999</v>
      </c>
      <c r="P47" s="1">
        <f t="array" ref="P47">MAX(ABS(P9:P46))</f>
        <v>1343.3</v>
      </c>
      <c r="Q47" s="1">
        <f t="array" ref="Q47">MAX(ABS(Q9:Q46))</f>
        <v>2.2685E-2</v>
      </c>
      <c r="R47" s="1">
        <f t="array" ref="R47">MAX(ABS(R9:R46))</f>
        <v>36.546999999999997</v>
      </c>
      <c r="S47" s="1">
        <f t="array" ref="S47">MAX(ABS(S9:S46))</f>
        <v>176.25</v>
      </c>
    </row>
    <row r="48" spans="4:19" x14ac:dyDescent="0.15">
      <c r="D48" s="4"/>
      <c r="E48" s="4">
        <f t="shared" ref="E48:J48" si="0">ABS(E47)</f>
        <v>506.54</v>
      </c>
      <c r="F48" s="4">
        <f t="shared" si="0"/>
        <v>459.15</v>
      </c>
      <c r="G48" s="4">
        <f t="shared" si="0"/>
        <v>810.47</v>
      </c>
      <c r="H48" s="4">
        <f t="shared" si="0"/>
        <v>9.7943000000000006E-3</v>
      </c>
      <c r="I48" s="4">
        <f t="shared" si="0"/>
        <v>17.968</v>
      </c>
      <c r="J48" s="4">
        <f t="shared" si="0"/>
        <v>80.269000000000005</v>
      </c>
      <c r="K48" s="4"/>
      <c r="L48" s="4"/>
      <c r="M48" s="4"/>
      <c r="N48" s="4">
        <f t="shared" ref="N48:S48" si="1">ABS(N47)</f>
        <v>1112.3</v>
      </c>
      <c r="O48" s="4">
        <f t="shared" si="1"/>
        <v>1072.0999999999999</v>
      </c>
      <c r="P48" s="4">
        <f t="shared" si="1"/>
        <v>1343.3</v>
      </c>
      <c r="Q48" s="4">
        <f t="shared" si="1"/>
        <v>2.2685E-2</v>
      </c>
      <c r="R48" s="4">
        <f t="shared" si="1"/>
        <v>36.546999999999997</v>
      </c>
      <c r="S48" s="4">
        <f t="shared" si="1"/>
        <v>176.25</v>
      </c>
    </row>
    <row r="49" spans="1:18" x14ac:dyDescent="0.15">
      <c r="A49" t="s">
        <v>70</v>
      </c>
      <c r="D49" t="s">
        <v>19</v>
      </c>
      <c r="E49" s="2">
        <v>8.4300000000000003E-5</v>
      </c>
      <c r="M49" t="s">
        <v>19</v>
      </c>
      <c r="N49" s="2">
        <v>8.4300000000000003E-5</v>
      </c>
    </row>
    <row r="50" spans="1:18" x14ac:dyDescent="0.15">
      <c r="D50" t="s">
        <v>20</v>
      </c>
      <c r="E50">
        <v>0.24099999999999999</v>
      </c>
      <c r="F50">
        <v>2</v>
      </c>
      <c r="M50" t="s">
        <v>20</v>
      </c>
      <c r="N50">
        <v>0.24099999999999999</v>
      </c>
      <c r="O50">
        <v>2</v>
      </c>
    </row>
    <row r="51" spans="1:18" x14ac:dyDescent="0.15">
      <c r="D51" t="s">
        <v>21</v>
      </c>
      <c r="E51">
        <f>SQRT(E48^2+F48^2)/2+J48/E50</f>
        <v>674.90022909930281</v>
      </c>
      <c r="M51" t="s">
        <v>21</v>
      </c>
      <c r="N51">
        <f>SQRT(N48^2+O48^2)/2+S48/N50</f>
        <v>1503.760597259442</v>
      </c>
    </row>
    <row r="52" spans="1:18" x14ac:dyDescent="0.15">
      <c r="D52" t="s">
        <v>22</v>
      </c>
      <c r="E52">
        <f>G48/2+I48/E50</f>
        <v>479.79101659751041</v>
      </c>
      <c r="M52" t="s">
        <v>22</v>
      </c>
      <c r="N52">
        <f>P48/2+R48/N50</f>
        <v>823.29730290456428</v>
      </c>
    </row>
    <row r="53" spans="1:18" x14ac:dyDescent="0.15">
      <c r="D53" t="s">
        <v>23</v>
      </c>
      <c r="E53" s="5">
        <f>E51/E49/(1000000)/0.9</f>
        <v>8.8954821286319063</v>
      </c>
      <c r="M53" t="s">
        <v>23</v>
      </c>
      <c r="N53" s="5">
        <f>N51/N49/(1000000)/0.9</f>
        <v>19.820226667450136</v>
      </c>
    </row>
    <row r="54" spans="1:18" x14ac:dyDescent="0.15">
      <c r="D54" t="s">
        <v>24</v>
      </c>
      <c r="E54" s="5">
        <f>E52/E49/(1000000)</f>
        <v>5.6914711340155444</v>
      </c>
      <c r="M54" t="s">
        <v>24</v>
      </c>
      <c r="N54" s="5">
        <f>N52/N49/(1000000)</f>
        <v>9.7662788007658872</v>
      </c>
    </row>
    <row r="55" spans="1:18" x14ac:dyDescent="0.15">
      <c r="D55" t="s">
        <v>25</v>
      </c>
      <c r="E55">
        <v>100</v>
      </c>
      <c r="M55" t="s">
        <v>25</v>
      </c>
      <c r="N55">
        <v>100</v>
      </c>
    </row>
    <row r="56" spans="1:18" x14ac:dyDescent="0.15">
      <c r="D56" t="s">
        <v>26</v>
      </c>
      <c r="E56">
        <v>240</v>
      </c>
      <c r="M56" t="s">
        <v>26</v>
      </c>
      <c r="N56">
        <v>240</v>
      </c>
    </row>
    <row r="57" spans="1:18" x14ac:dyDescent="0.15">
      <c r="D57" t="s">
        <v>27</v>
      </c>
      <c r="E57">
        <f>E53^2/E55^2+E54^2/E56^2</f>
        <v>8.4753359882290911E-3</v>
      </c>
      <c r="M57" t="s">
        <v>27</v>
      </c>
      <c r="N57">
        <f>N53^2/N55^2+N54^2/N56^2</f>
        <v>4.0940044792936003E-2</v>
      </c>
    </row>
    <row r="59" spans="1:18" ht="15.75" x14ac:dyDescent="0.15">
      <c r="D59" t="s">
        <v>28</v>
      </c>
      <c r="E59" s="6">
        <f>E48</f>
        <v>506.54</v>
      </c>
      <c r="F59" s="6">
        <f>F48</f>
        <v>459.15</v>
      </c>
      <c r="G59" s="6">
        <f>G48</f>
        <v>810.47</v>
      </c>
      <c r="H59" s="6">
        <f>I48</f>
        <v>17.968</v>
      </c>
      <c r="I59" s="6">
        <f>J48</f>
        <v>80.269000000000005</v>
      </c>
      <c r="M59" t="s">
        <v>29</v>
      </c>
      <c r="N59" s="4">
        <f>N48</f>
        <v>1112.3</v>
      </c>
      <c r="O59" s="4">
        <f>O48</f>
        <v>1072.0999999999999</v>
      </c>
      <c r="P59" s="4">
        <f>P48</f>
        <v>1343.3</v>
      </c>
      <c r="Q59" s="4">
        <f>R48</f>
        <v>36.546999999999997</v>
      </c>
      <c r="R59" s="4">
        <f>S48</f>
        <v>176.25</v>
      </c>
    </row>
    <row r="60" spans="1:18" ht="15.75" x14ac:dyDescent="0.15">
      <c r="D60" t="s">
        <v>29</v>
      </c>
      <c r="E60" s="6">
        <f>N48</f>
        <v>1112.3</v>
      </c>
      <c r="F60" s="6">
        <f>O48</f>
        <v>1072.0999999999999</v>
      </c>
      <c r="G60" s="6">
        <f>P48</f>
        <v>1343.3</v>
      </c>
      <c r="H60" s="6">
        <f>R48</f>
        <v>36.546999999999997</v>
      </c>
      <c r="I60" s="6">
        <f>S48</f>
        <v>176.25</v>
      </c>
    </row>
    <row r="61" spans="1:18" s="5" customFormat="1" ht="15.75" x14ac:dyDescent="0.15">
      <c r="D61" s="5" t="s">
        <v>30</v>
      </c>
      <c r="E61" s="7">
        <f>E53</f>
        <v>8.8954821286319063</v>
      </c>
      <c r="F61" s="7">
        <v>100</v>
      </c>
      <c r="G61" s="7">
        <f>E54</f>
        <v>5.6914711340155444</v>
      </c>
      <c r="H61" s="7">
        <v>240</v>
      </c>
      <c r="I61" s="7">
        <f>E57</f>
        <v>8.4753359882290911E-3</v>
      </c>
      <c r="M61" s="5" t="s">
        <v>31</v>
      </c>
      <c r="N61" s="5">
        <f>N53</f>
        <v>19.820226667450136</v>
      </c>
      <c r="O61" s="5">
        <f>N55</f>
        <v>100</v>
      </c>
      <c r="P61" s="5">
        <f>N54</f>
        <v>9.7662788007658872</v>
      </c>
      <c r="Q61" s="5">
        <f>N56</f>
        <v>240</v>
      </c>
      <c r="R61" s="5">
        <f>N57</f>
        <v>4.0940044792936003E-2</v>
      </c>
    </row>
    <row r="62" spans="1:18" ht="15.75" x14ac:dyDescent="0.15">
      <c r="D62" s="5" t="s">
        <v>31</v>
      </c>
      <c r="E62" s="7">
        <f>N53</f>
        <v>19.820226667450136</v>
      </c>
      <c r="F62" s="7">
        <v>100</v>
      </c>
      <c r="G62" s="7">
        <f>N54</f>
        <v>9.7662788007658872</v>
      </c>
      <c r="H62" s="7">
        <v>240</v>
      </c>
      <c r="I62" s="7">
        <f>N57</f>
        <v>4.0940044792936003E-2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3"/>
  <sheetViews>
    <sheetView workbookViewId="0">
      <selection activeCell="G18" sqref="G18"/>
    </sheetView>
  </sheetViews>
  <sheetFormatPr defaultRowHeight="13.5" x14ac:dyDescent="0.15"/>
  <cols>
    <col min="2" max="2" width="9" style="1"/>
    <col min="10" max="10" width="8.625" customWidth="1"/>
    <col min="12" max="12" width="9.125" bestFit="1" customWidth="1"/>
    <col min="266" max="266" width="8.625" customWidth="1"/>
    <col min="268" max="268" width="9.125" bestFit="1" customWidth="1"/>
    <col min="522" max="522" width="8.625" customWidth="1"/>
    <col min="524" max="524" width="9.125" bestFit="1" customWidth="1"/>
    <col min="778" max="778" width="8.625" customWidth="1"/>
    <col min="780" max="780" width="9.125" bestFit="1" customWidth="1"/>
    <col min="1034" max="1034" width="8.625" customWidth="1"/>
    <col min="1036" max="1036" width="9.125" bestFit="1" customWidth="1"/>
    <col min="1290" max="1290" width="8.625" customWidth="1"/>
    <col min="1292" max="1292" width="9.125" bestFit="1" customWidth="1"/>
    <col min="1546" max="1546" width="8.625" customWidth="1"/>
    <col min="1548" max="1548" width="9.125" bestFit="1" customWidth="1"/>
    <col min="1802" max="1802" width="8.625" customWidth="1"/>
    <col min="1804" max="1804" width="9.125" bestFit="1" customWidth="1"/>
    <col min="2058" max="2058" width="8.625" customWidth="1"/>
    <col min="2060" max="2060" width="9.125" bestFit="1" customWidth="1"/>
    <col min="2314" max="2314" width="8.625" customWidth="1"/>
    <col min="2316" max="2316" width="9.125" bestFit="1" customWidth="1"/>
    <col min="2570" max="2570" width="8.625" customWidth="1"/>
    <col min="2572" max="2572" width="9.125" bestFit="1" customWidth="1"/>
    <col min="2826" max="2826" width="8.625" customWidth="1"/>
    <col min="2828" max="2828" width="9.125" bestFit="1" customWidth="1"/>
    <col min="3082" max="3082" width="8.625" customWidth="1"/>
    <col min="3084" max="3084" width="9.125" bestFit="1" customWidth="1"/>
    <col min="3338" max="3338" width="8.625" customWidth="1"/>
    <col min="3340" max="3340" width="9.125" bestFit="1" customWidth="1"/>
    <col min="3594" max="3594" width="8.625" customWidth="1"/>
    <col min="3596" max="3596" width="9.125" bestFit="1" customWidth="1"/>
    <col min="3850" max="3850" width="8.625" customWidth="1"/>
    <col min="3852" max="3852" width="9.125" bestFit="1" customWidth="1"/>
    <col min="4106" max="4106" width="8.625" customWidth="1"/>
    <col min="4108" max="4108" width="9.125" bestFit="1" customWidth="1"/>
    <col min="4362" max="4362" width="8.625" customWidth="1"/>
    <col min="4364" max="4364" width="9.125" bestFit="1" customWidth="1"/>
    <col min="4618" max="4618" width="8.625" customWidth="1"/>
    <col min="4620" max="4620" width="9.125" bestFit="1" customWidth="1"/>
    <col min="4874" max="4874" width="8.625" customWidth="1"/>
    <col min="4876" max="4876" width="9.125" bestFit="1" customWidth="1"/>
    <col min="5130" max="5130" width="8.625" customWidth="1"/>
    <col min="5132" max="5132" width="9.125" bestFit="1" customWidth="1"/>
    <col min="5386" max="5386" width="8.625" customWidth="1"/>
    <col min="5388" max="5388" width="9.125" bestFit="1" customWidth="1"/>
    <col min="5642" max="5642" width="8.625" customWidth="1"/>
    <col min="5644" max="5644" width="9.125" bestFit="1" customWidth="1"/>
    <col min="5898" max="5898" width="8.625" customWidth="1"/>
    <col min="5900" max="5900" width="9.125" bestFit="1" customWidth="1"/>
    <col min="6154" max="6154" width="8.625" customWidth="1"/>
    <col min="6156" max="6156" width="9.125" bestFit="1" customWidth="1"/>
    <col min="6410" max="6410" width="8.625" customWidth="1"/>
    <col min="6412" max="6412" width="9.125" bestFit="1" customWidth="1"/>
    <col min="6666" max="6666" width="8.625" customWidth="1"/>
    <col min="6668" max="6668" width="9.125" bestFit="1" customWidth="1"/>
    <col min="6922" max="6922" width="8.625" customWidth="1"/>
    <col min="6924" max="6924" width="9.125" bestFit="1" customWidth="1"/>
    <col min="7178" max="7178" width="8.625" customWidth="1"/>
    <col min="7180" max="7180" width="9.125" bestFit="1" customWidth="1"/>
    <col min="7434" max="7434" width="8.625" customWidth="1"/>
    <col min="7436" max="7436" width="9.125" bestFit="1" customWidth="1"/>
    <col min="7690" max="7690" width="8.625" customWidth="1"/>
    <col min="7692" max="7692" width="9.125" bestFit="1" customWidth="1"/>
    <col min="7946" max="7946" width="8.625" customWidth="1"/>
    <col min="7948" max="7948" width="9.125" bestFit="1" customWidth="1"/>
    <col min="8202" max="8202" width="8.625" customWidth="1"/>
    <col min="8204" max="8204" width="9.125" bestFit="1" customWidth="1"/>
    <col min="8458" max="8458" width="8.625" customWidth="1"/>
    <col min="8460" max="8460" width="9.125" bestFit="1" customWidth="1"/>
    <col min="8714" max="8714" width="8.625" customWidth="1"/>
    <col min="8716" max="8716" width="9.125" bestFit="1" customWidth="1"/>
    <col min="8970" max="8970" width="8.625" customWidth="1"/>
    <col min="8972" max="8972" width="9.125" bestFit="1" customWidth="1"/>
    <col min="9226" max="9226" width="8.625" customWidth="1"/>
    <col min="9228" max="9228" width="9.125" bestFit="1" customWidth="1"/>
    <col min="9482" max="9482" width="8.625" customWidth="1"/>
    <col min="9484" max="9484" width="9.125" bestFit="1" customWidth="1"/>
    <col min="9738" max="9738" width="8.625" customWidth="1"/>
    <col min="9740" max="9740" width="9.125" bestFit="1" customWidth="1"/>
    <col min="9994" max="9994" width="8.625" customWidth="1"/>
    <col min="9996" max="9996" width="9.125" bestFit="1" customWidth="1"/>
    <col min="10250" max="10250" width="8.625" customWidth="1"/>
    <col min="10252" max="10252" width="9.125" bestFit="1" customWidth="1"/>
    <col min="10506" max="10506" width="8.625" customWidth="1"/>
    <col min="10508" max="10508" width="9.125" bestFit="1" customWidth="1"/>
    <col min="10762" max="10762" width="8.625" customWidth="1"/>
    <col min="10764" max="10764" width="9.125" bestFit="1" customWidth="1"/>
    <col min="11018" max="11018" width="8.625" customWidth="1"/>
    <col min="11020" max="11020" width="9.125" bestFit="1" customWidth="1"/>
    <col min="11274" max="11274" width="8.625" customWidth="1"/>
    <col min="11276" max="11276" width="9.125" bestFit="1" customWidth="1"/>
    <col min="11530" max="11530" width="8.625" customWidth="1"/>
    <col min="11532" max="11532" width="9.125" bestFit="1" customWidth="1"/>
    <col min="11786" max="11786" width="8.625" customWidth="1"/>
    <col min="11788" max="11788" width="9.125" bestFit="1" customWidth="1"/>
    <col min="12042" max="12042" width="8.625" customWidth="1"/>
    <col min="12044" max="12044" width="9.125" bestFit="1" customWidth="1"/>
    <col min="12298" max="12298" width="8.625" customWidth="1"/>
    <col min="12300" max="12300" width="9.125" bestFit="1" customWidth="1"/>
    <col min="12554" max="12554" width="8.625" customWidth="1"/>
    <col min="12556" max="12556" width="9.125" bestFit="1" customWidth="1"/>
    <col min="12810" max="12810" width="8.625" customWidth="1"/>
    <col min="12812" max="12812" width="9.125" bestFit="1" customWidth="1"/>
    <col min="13066" max="13066" width="8.625" customWidth="1"/>
    <col min="13068" max="13068" width="9.125" bestFit="1" customWidth="1"/>
    <col min="13322" max="13322" width="8.625" customWidth="1"/>
    <col min="13324" max="13324" width="9.125" bestFit="1" customWidth="1"/>
    <col min="13578" max="13578" width="8.625" customWidth="1"/>
    <col min="13580" max="13580" width="9.125" bestFit="1" customWidth="1"/>
    <col min="13834" max="13834" width="8.625" customWidth="1"/>
    <col min="13836" max="13836" width="9.125" bestFit="1" customWidth="1"/>
    <col min="14090" max="14090" width="8.625" customWidth="1"/>
    <col min="14092" max="14092" width="9.125" bestFit="1" customWidth="1"/>
    <col min="14346" max="14346" width="8.625" customWidth="1"/>
    <col min="14348" max="14348" width="9.125" bestFit="1" customWidth="1"/>
    <col min="14602" max="14602" width="8.625" customWidth="1"/>
    <col min="14604" max="14604" width="9.125" bestFit="1" customWidth="1"/>
    <col min="14858" max="14858" width="8.625" customWidth="1"/>
    <col min="14860" max="14860" width="9.125" bestFit="1" customWidth="1"/>
    <col min="15114" max="15114" width="8.625" customWidth="1"/>
    <col min="15116" max="15116" width="9.125" bestFit="1" customWidth="1"/>
    <col min="15370" max="15370" width="8.625" customWidth="1"/>
    <col min="15372" max="15372" width="9.125" bestFit="1" customWidth="1"/>
    <col min="15626" max="15626" width="8.625" customWidth="1"/>
    <col min="15628" max="15628" width="9.125" bestFit="1" customWidth="1"/>
    <col min="15882" max="15882" width="8.625" customWidth="1"/>
    <col min="15884" max="15884" width="9.125" bestFit="1" customWidth="1"/>
    <col min="16138" max="16138" width="8.625" customWidth="1"/>
    <col min="16140" max="16140" width="9.125" bestFit="1" customWidth="1"/>
  </cols>
  <sheetData>
    <row r="2" spans="2:12" ht="14.25" thickBot="1" x14ac:dyDescent="0.2"/>
    <row r="3" spans="2:12" ht="15" thickBot="1" x14ac:dyDescent="0.2">
      <c r="C3" s="8"/>
      <c r="D3" s="9"/>
    </row>
    <row r="4" spans="2:12" s="1" customFormat="1" x14ac:dyDescent="0.15">
      <c r="B4" s="10"/>
      <c r="C4" s="1">
        <v>1</v>
      </c>
      <c r="D4" s="1">
        <v>2.8067543622779998</v>
      </c>
    </row>
    <row r="5" spans="2:12" ht="14.25" thickBot="1" x14ac:dyDescent="0.2">
      <c r="C5">
        <v>2</v>
      </c>
      <c r="D5">
        <v>2.812344917171</v>
      </c>
    </row>
    <row r="6" spans="2:12" ht="32.25" thickBot="1" x14ac:dyDescent="0.2">
      <c r="C6">
        <v>3</v>
      </c>
      <c r="D6">
        <v>2.812820490589</v>
      </c>
      <c r="I6" s="8" t="s">
        <v>32</v>
      </c>
      <c r="J6" s="9" t="s">
        <v>33</v>
      </c>
      <c r="K6" s="9" t="s">
        <v>32</v>
      </c>
      <c r="L6" s="9" t="s">
        <v>33</v>
      </c>
    </row>
    <row r="7" spans="2:12" ht="16.5" thickBot="1" x14ac:dyDescent="0.2">
      <c r="C7">
        <v>4</v>
      </c>
      <c r="D7">
        <v>2.8128205170939999</v>
      </c>
      <c r="I7" s="11" t="s">
        <v>34</v>
      </c>
      <c r="J7" s="12">
        <f>D4</f>
        <v>2.8067543622779998</v>
      </c>
      <c r="K7" s="13">
        <f ca="1">OFFSET(C4,MATCH(L7,D4:D1000,0)-1,0)</f>
        <v>29</v>
      </c>
      <c r="L7" s="12">
        <f ca="1">OFFSET(D4,MATCH(20,D4:D1000,1),0)</f>
        <v>20.666804541649999</v>
      </c>
    </row>
    <row r="8" spans="2:12" ht="16.5" thickBot="1" x14ac:dyDescent="0.2">
      <c r="C8">
        <v>5</v>
      </c>
      <c r="D8">
        <v>2.9304733922519999</v>
      </c>
      <c r="I8" s="11">
        <v>2</v>
      </c>
      <c r="J8" s="12">
        <f>D5</f>
        <v>2.812344917171</v>
      </c>
      <c r="K8" s="13">
        <f ca="1">OFFSET(C4,MATCH(L8,D4:D1000,0)-1,0)</f>
        <v>43</v>
      </c>
      <c r="L8" s="12">
        <f ca="1">OFFSET(D4,MATCH(30,D4:D1000,1),0)</f>
        <v>35.154614134779997</v>
      </c>
    </row>
    <row r="9" spans="2:12" ht="16.5" thickBot="1" x14ac:dyDescent="0.2">
      <c r="C9">
        <v>6</v>
      </c>
      <c r="D9">
        <v>2.9370805762750001</v>
      </c>
      <c r="I9" s="11">
        <v>3</v>
      </c>
      <c r="J9" s="12">
        <f>D6</f>
        <v>2.812820490589</v>
      </c>
      <c r="K9" s="13">
        <f ca="1">OFFSET(C4,MATCH(L9,D4:D1000,0)-1,0)</f>
        <v>44</v>
      </c>
      <c r="L9" s="12">
        <f ca="1">OFFSET(D4,MATCH(40,D4:D1000,1),0)</f>
        <v>41.412896822859999</v>
      </c>
    </row>
    <row r="10" spans="2:12" ht="16.5" thickBot="1" x14ac:dyDescent="0.2">
      <c r="C10">
        <v>7</v>
      </c>
      <c r="D10">
        <v>2.9376292009979998</v>
      </c>
      <c r="I10" s="11">
        <v>4</v>
      </c>
      <c r="J10" s="12">
        <f>D7</f>
        <v>2.8128205170939999</v>
      </c>
      <c r="K10" s="13">
        <f ca="1">OFFSET(C4,MATCH(L10,D4:D1000,0)-1,0)</f>
        <v>45</v>
      </c>
      <c r="L10" s="12">
        <f ca="1">OFFSET(D4,MATCH(45,D4:D1000,1),0)</f>
        <v>45.162004958959997</v>
      </c>
    </row>
    <row r="11" spans="2:12" ht="16.5" thickBot="1" x14ac:dyDescent="0.2">
      <c r="C11">
        <v>8</v>
      </c>
      <c r="D11">
        <v>2.9376292278389999</v>
      </c>
      <c r="I11" s="11">
        <f ca="1">OFFSET(C4,MATCH(J11,D4:D1000,0)-1,0)</f>
        <v>16</v>
      </c>
      <c r="J11" s="12">
        <f ca="1">OFFSET(D4,MATCH(10,D4:D1000,1),0)</f>
        <v>11.39329818167</v>
      </c>
      <c r="K11" s="13">
        <f ca="1">OFFSET(C4,MATCH(L11,D4:D1000,0)-1,0)</f>
        <v>60</v>
      </c>
      <c r="L11" s="12">
        <f ca="1">OFFSET(D4,COUNT(D4:D1000)-1,0)</f>
        <v>62.247938987509997</v>
      </c>
    </row>
    <row r="12" spans="2:12" x14ac:dyDescent="0.15">
      <c r="C12">
        <v>9</v>
      </c>
      <c r="D12">
        <v>5.9699204387530003</v>
      </c>
    </row>
    <row r="13" spans="2:12" x14ac:dyDescent="0.15">
      <c r="C13">
        <v>10</v>
      </c>
      <c r="D13">
        <v>6.3426299093580001</v>
      </c>
    </row>
    <row r="14" spans="2:12" x14ac:dyDescent="0.15">
      <c r="C14">
        <v>11</v>
      </c>
      <c r="D14">
        <v>6.3747166567109996</v>
      </c>
    </row>
    <row r="15" spans="2:12" x14ac:dyDescent="0.15">
      <c r="C15">
        <v>12</v>
      </c>
      <c r="D15">
        <v>6.3747173613120003</v>
      </c>
    </row>
    <row r="16" spans="2:12" x14ac:dyDescent="0.15">
      <c r="C16">
        <v>13</v>
      </c>
      <c r="D16">
        <v>8.5082069715579998</v>
      </c>
    </row>
    <row r="17" spans="3:4" x14ac:dyDescent="0.15">
      <c r="C17">
        <v>14</v>
      </c>
      <c r="D17">
        <v>9.1992410074229998</v>
      </c>
    </row>
    <row r="18" spans="3:4" x14ac:dyDescent="0.15">
      <c r="C18">
        <v>15</v>
      </c>
      <c r="D18">
        <v>9.6005210138739994</v>
      </c>
    </row>
    <row r="19" spans="3:4" x14ac:dyDescent="0.15">
      <c r="C19">
        <v>16</v>
      </c>
      <c r="D19">
        <v>11.39329818167</v>
      </c>
    </row>
    <row r="20" spans="3:4" x14ac:dyDescent="0.15">
      <c r="C20">
        <v>17</v>
      </c>
      <c r="D20">
        <v>11.40386555305</v>
      </c>
    </row>
    <row r="21" spans="3:4" x14ac:dyDescent="0.15">
      <c r="C21">
        <v>18</v>
      </c>
      <c r="D21">
        <v>11.412946669609999</v>
      </c>
    </row>
    <row r="22" spans="3:4" x14ac:dyDescent="0.15">
      <c r="C22">
        <v>19</v>
      </c>
      <c r="D22">
        <v>11.77251934105</v>
      </c>
    </row>
    <row r="23" spans="3:4" x14ac:dyDescent="0.15">
      <c r="C23">
        <v>20</v>
      </c>
      <c r="D23">
        <v>11.963888695270001</v>
      </c>
    </row>
    <row r="24" spans="3:4" x14ac:dyDescent="0.15">
      <c r="C24">
        <v>21</v>
      </c>
      <c r="D24">
        <v>12.498467017239999</v>
      </c>
    </row>
    <row r="25" spans="3:4" x14ac:dyDescent="0.15">
      <c r="C25">
        <v>22</v>
      </c>
      <c r="D25">
        <v>12.5350189589</v>
      </c>
    </row>
    <row r="26" spans="3:4" x14ac:dyDescent="0.15">
      <c r="C26">
        <v>23</v>
      </c>
      <c r="D26">
        <v>12.58297725461</v>
      </c>
    </row>
    <row r="27" spans="3:4" x14ac:dyDescent="0.15">
      <c r="C27">
        <v>24</v>
      </c>
      <c r="D27">
        <v>12.873048851609999</v>
      </c>
    </row>
    <row r="28" spans="3:4" x14ac:dyDescent="0.15">
      <c r="C28">
        <v>25</v>
      </c>
      <c r="D28">
        <v>14.825428367620001</v>
      </c>
    </row>
    <row r="29" spans="3:4" x14ac:dyDescent="0.15">
      <c r="C29">
        <v>26</v>
      </c>
      <c r="D29">
        <v>14.825554664149999</v>
      </c>
    </row>
    <row r="30" spans="3:4" x14ac:dyDescent="0.15">
      <c r="C30">
        <v>27</v>
      </c>
      <c r="D30">
        <v>14.825555005049999</v>
      </c>
    </row>
    <row r="31" spans="3:4" x14ac:dyDescent="0.15">
      <c r="C31">
        <v>28</v>
      </c>
      <c r="D31">
        <v>14.83609254435</v>
      </c>
    </row>
    <row r="32" spans="3:4" x14ac:dyDescent="0.15">
      <c r="C32">
        <v>29</v>
      </c>
      <c r="D32">
        <v>20.666804541649999</v>
      </c>
    </row>
    <row r="33" spans="3:4" x14ac:dyDescent="0.15">
      <c r="C33">
        <v>30</v>
      </c>
      <c r="D33">
        <v>21.197515586880002</v>
      </c>
    </row>
    <row r="34" spans="3:4" x14ac:dyDescent="0.15">
      <c r="C34">
        <v>31</v>
      </c>
      <c r="D34">
        <v>21.454301221209999</v>
      </c>
    </row>
    <row r="35" spans="3:4" x14ac:dyDescent="0.15">
      <c r="C35">
        <v>32</v>
      </c>
      <c r="D35">
        <v>21.514292138390001</v>
      </c>
    </row>
    <row r="36" spans="3:4" x14ac:dyDescent="0.15">
      <c r="C36">
        <v>33</v>
      </c>
      <c r="D36">
        <v>21.69213737039</v>
      </c>
    </row>
    <row r="37" spans="3:4" x14ac:dyDescent="0.15">
      <c r="C37">
        <v>34</v>
      </c>
      <c r="D37">
        <v>21.875317958349999</v>
      </c>
    </row>
    <row r="38" spans="3:4" x14ac:dyDescent="0.15">
      <c r="C38">
        <v>35</v>
      </c>
      <c r="D38">
        <v>22.432533496880001</v>
      </c>
    </row>
    <row r="39" spans="3:4" x14ac:dyDescent="0.15">
      <c r="C39">
        <v>36</v>
      </c>
      <c r="D39">
        <v>23.94554705274</v>
      </c>
    </row>
    <row r="40" spans="3:4" x14ac:dyDescent="0.15">
      <c r="C40">
        <v>37</v>
      </c>
      <c r="D40">
        <v>24.10069558156</v>
      </c>
    </row>
    <row r="41" spans="3:4" x14ac:dyDescent="0.15">
      <c r="C41">
        <v>38</v>
      </c>
      <c r="D41">
        <v>24.421919478749999</v>
      </c>
    </row>
    <row r="42" spans="3:4" x14ac:dyDescent="0.15">
      <c r="C42">
        <v>39</v>
      </c>
      <c r="D42">
        <v>29.099496211129999</v>
      </c>
    </row>
    <row r="43" spans="3:4" x14ac:dyDescent="0.15">
      <c r="C43">
        <v>40</v>
      </c>
      <c r="D43">
        <v>29.187988355889999</v>
      </c>
    </row>
    <row r="44" spans="3:4" x14ac:dyDescent="0.15">
      <c r="C44">
        <v>41</v>
      </c>
      <c r="D44">
        <v>29.19280043929</v>
      </c>
    </row>
    <row r="45" spans="3:4" x14ac:dyDescent="0.15">
      <c r="C45">
        <v>42</v>
      </c>
      <c r="D45">
        <v>29.19282763084</v>
      </c>
    </row>
    <row r="46" spans="3:4" x14ac:dyDescent="0.15">
      <c r="C46">
        <v>43</v>
      </c>
      <c r="D46">
        <v>35.154614134779997</v>
      </c>
    </row>
    <row r="47" spans="3:4" x14ac:dyDescent="0.15">
      <c r="C47">
        <v>44</v>
      </c>
      <c r="D47">
        <v>41.412896822859999</v>
      </c>
    </row>
    <row r="48" spans="3:4" x14ac:dyDescent="0.15">
      <c r="C48">
        <v>45</v>
      </c>
      <c r="D48">
        <v>45.162004958959997</v>
      </c>
    </row>
    <row r="49" spans="3:4" x14ac:dyDescent="0.15">
      <c r="C49">
        <v>46</v>
      </c>
      <c r="D49">
        <v>45.722846209499998</v>
      </c>
    </row>
    <row r="50" spans="3:4" x14ac:dyDescent="0.15">
      <c r="C50">
        <v>47</v>
      </c>
      <c r="D50">
        <v>45.915599337110002</v>
      </c>
    </row>
    <row r="51" spans="3:4" x14ac:dyDescent="0.15">
      <c r="C51">
        <v>48</v>
      </c>
      <c r="D51">
        <v>46.461434933509999</v>
      </c>
    </row>
    <row r="52" spans="3:4" x14ac:dyDescent="0.15">
      <c r="C52">
        <v>49</v>
      </c>
      <c r="D52">
        <v>47.20338691013</v>
      </c>
    </row>
    <row r="53" spans="3:4" x14ac:dyDescent="0.15">
      <c r="C53">
        <v>50</v>
      </c>
      <c r="D53">
        <v>47.204798944970001</v>
      </c>
    </row>
    <row r="54" spans="3:4" x14ac:dyDescent="0.15">
      <c r="C54">
        <v>51</v>
      </c>
      <c r="D54">
        <v>47.469159918899997</v>
      </c>
    </row>
    <row r="55" spans="3:4" x14ac:dyDescent="0.15">
      <c r="C55">
        <v>52</v>
      </c>
      <c r="D55">
        <v>47.76139314545</v>
      </c>
    </row>
    <row r="56" spans="3:4" x14ac:dyDescent="0.15">
      <c r="C56">
        <v>53</v>
      </c>
      <c r="D56">
        <v>51.12080877591</v>
      </c>
    </row>
    <row r="57" spans="3:4" x14ac:dyDescent="0.15">
      <c r="C57">
        <v>54</v>
      </c>
      <c r="D57">
        <v>51.649272479499999</v>
      </c>
    </row>
    <row r="58" spans="3:4" x14ac:dyDescent="0.15">
      <c r="C58">
        <v>55</v>
      </c>
      <c r="D58">
        <v>52.152492353569997</v>
      </c>
    </row>
    <row r="59" spans="3:4" x14ac:dyDescent="0.15">
      <c r="C59">
        <v>56</v>
      </c>
      <c r="D59">
        <v>58.262955170710001</v>
      </c>
    </row>
    <row r="60" spans="3:4" x14ac:dyDescent="0.15">
      <c r="C60">
        <v>57</v>
      </c>
      <c r="D60">
        <v>60.382926390329999</v>
      </c>
    </row>
    <row r="61" spans="3:4" x14ac:dyDescent="0.15">
      <c r="C61">
        <v>58</v>
      </c>
      <c r="D61">
        <v>61.577470691019997</v>
      </c>
    </row>
    <row r="62" spans="3:4" x14ac:dyDescent="0.15">
      <c r="C62">
        <v>59</v>
      </c>
      <c r="D62">
        <v>62.183473077270001</v>
      </c>
    </row>
    <row r="63" spans="3:4" x14ac:dyDescent="0.15">
      <c r="C63">
        <v>60</v>
      </c>
      <c r="D63">
        <v>62.247938987509997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1"/>
  <sheetViews>
    <sheetView topLeftCell="A31" workbookViewId="0">
      <selection activeCell="C61" sqref="C61:H61"/>
    </sheetView>
  </sheetViews>
  <sheetFormatPr defaultRowHeight="13.5" x14ac:dyDescent="0.15"/>
  <sheetData>
    <row r="1" spans="2:18" x14ac:dyDescent="0.15">
      <c r="B1">
        <v>622</v>
      </c>
      <c r="C1">
        <v>-221.72</v>
      </c>
      <c r="D1">
        <v>-139.36000000000001</v>
      </c>
      <c r="E1">
        <v>363.37</v>
      </c>
      <c r="F1" s="2">
        <v>-4.2353000000000002E-2</v>
      </c>
      <c r="G1">
        <v>-9.5612999999999992</v>
      </c>
      <c r="H1">
        <v>-21.605</v>
      </c>
      <c r="L1">
        <v>622</v>
      </c>
      <c r="M1">
        <v>-351.54</v>
      </c>
      <c r="N1">
        <v>-318.33999999999997</v>
      </c>
      <c r="O1">
        <v>262.87</v>
      </c>
      <c r="P1" s="2">
        <v>-9.4778000000000001E-2</v>
      </c>
      <c r="Q1">
        <v>-9.5968999999999998</v>
      </c>
      <c r="R1">
        <v>-41.734999999999999</v>
      </c>
    </row>
    <row r="2" spans="2:18" x14ac:dyDescent="0.15">
      <c r="B2">
        <v>630</v>
      </c>
      <c r="C2">
        <v>-211.55</v>
      </c>
      <c r="D2">
        <v>-152.74</v>
      </c>
      <c r="E2">
        <v>145.94999999999999</v>
      </c>
      <c r="F2" s="2">
        <v>-4.2133999999999998E-2</v>
      </c>
      <c r="G2">
        <v>-7.9173999999999998</v>
      </c>
      <c r="H2">
        <v>-20.568999999999999</v>
      </c>
      <c r="L2">
        <v>630</v>
      </c>
      <c r="M2">
        <v>-328.11</v>
      </c>
      <c r="N2">
        <v>-340.59</v>
      </c>
      <c r="O2">
        <v>42.601999999999997</v>
      </c>
      <c r="P2" s="2">
        <v>-9.4677999999999998E-2</v>
      </c>
      <c r="Q2">
        <v>-8.7812999999999999</v>
      </c>
      <c r="R2">
        <v>-45.115000000000002</v>
      </c>
    </row>
    <row r="3" spans="2:18" x14ac:dyDescent="0.15">
      <c r="B3">
        <v>638</v>
      </c>
      <c r="C3">
        <v>-221.72</v>
      </c>
      <c r="D3">
        <v>-156.65</v>
      </c>
      <c r="E3">
        <v>363.37</v>
      </c>
      <c r="F3" s="2">
        <v>-4.2353000000000002E-2</v>
      </c>
      <c r="G3">
        <v>-9.5612999999999992</v>
      </c>
      <c r="H3">
        <v>-16.885000000000002</v>
      </c>
      <c r="L3">
        <v>638</v>
      </c>
      <c r="M3">
        <v>-351.54</v>
      </c>
      <c r="N3">
        <v>-335.63</v>
      </c>
      <c r="O3">
        <v>262.87</v>
      </c>
      <c r="P3" s="2">
        <v>-9.4778000000000001E-2</v>
      </c>
      <c r="Q3">
        <v>-9.5968999999999998</v>
      </c>
      <c r="R3">
        <v>-37.015000000000001</v>
      </c>
    </row>
    <row r="4" spans="2:18" x14ac:dyDescent="0.15">
      <c r="B4">
        <v>646</v>
      </c>
      <c r="C4">
        <v>-218.34</v>
      </c>
      <c r="D4">
        <v>-154.12</v>
      </c>
      <c r="E4">
        <v>353.55</v>
      </c>
      <c r="F4" s="2">
        <v>-4.0977E-2</v>
      </c>
      <c r="G4">
        <v>-9.5374999999999996</v>
      </c>
      <c r="H4">
        <v>-12.054</v>
      </c>
      <c r="L4">
        <v>646</v>
      </c>
      <c r="M4">
        <v>-344.92</v>
      </c>
      <c r="N4">
        <v>-333.73</v>
      </c>
      <c r="O4">
        <v>252.6</v>
      </c>
      <c r="P4" s="2">
        <v>-9.2234999999999998E-2</v>
      </c>
      <c r="Q4">
        <v>-9.4931000000000001</v>
      </c>
      <c r="R4">
        <v>-15.831</v>
      </c>
    </row>
    <row r="5" spans="2:18" x14ac:dyDescent="0.15">
      <c r="B5">
        <v>654</v>
      </c>
      <c r="C5">
        <v>-214.07</v>
      </c>
      <c r="D5">
        <v>-140.99</v>
      </c>
      <c r="E5">
        <v>135.78</v>
      </c>
      <c r="F5" s="2">
        <v>-4.0781999999999999E-2</v>
      </c>
      <c r="G5">
        <v>-7.8539000000000003</v>
      </c>
      <c r="H5">
        <v>-3.1385999999999998</v>
      </c>
      <c r="L5">
        <v>654</v>
      </c>
      <c r="M5">
        <v>-330.57</v>
      </c>
      <c r="N5">
        <v>-317.33</v>
      </c>
      <c r="O5">
        <v>30.945</v>
      </c>
      <c r="P5" s="2">
        <v>-9.2116000000000003E-2</v>
      </c>
      <c r="Q5">
        <v>-8.7353000000000005</v>
      </c>
      <c r="R5">
        <v>-7.0449000000000002</v>
      </c>
    </row>
    <row r="6" spans="2:18" x14ac:dyDescent="0.15">
      <c r="B6">
        <v>662</v>
      </c>
      <c r="C6">
        <v>-218.34</v>
      </c>
      <c r="D6">
        <v>-140.41</v>
      </c>
      <c r="E6">
        <v>353.55</v>
      </c>
      <c r="F6" s="2">
        <v>-4.0977E-2</v>
      </c>
      <c r="G6">
        <v>-9.5374999999999996</v>
      </c>
      <c r="H6">
        <v>-6.8752000000000004</v>
      </c>
      <c r="L6">
        <v>662</v>
      </c>
      <c r="M6">
        <v>-344.92</v>
      </c>
      <c r="N6">
        <v>-320.02</v>
      </c>
      <c r="O6">
        <v>252.6</v>
      </c>
      <c r="P6" s="2">
        <v>-9.2234999999999998E-2</v>
      </c>
      <c r="Q6">
        <v>-9.4931000000000001</v>
      </c>
      <c r="R6">
        <v>-10.651999999999999</v>
      </c>
    </row>
    <row r="7" spans="2:18" x14ac:dyDescent="0.15">
      <c r="B7">
        <v>622</v>
      </c>
      <c r="C7">
        <v>233.51</v>
      </c>
      <c r="D7">
        <v>156.65</v>
      </c>
      <c r="E7">
        <v>986.77</v>
      </c>
      <c r="F7" s="2">
        <v>4.2353000000000002E-2</v>
      </c>
      <c r="G7">
        <v>9.0696999999999992</v>
      </c>
      <c r="H7">
        <v>16.885000000000002</v>
      </c>
      <c r="L7">
        <v>622</v>
      </c>
      <c r="M7">
        <v>363.34</v>
      </c>
      <c r="N7">
        <v>335.63</v>
      </c>
      <c r="O7">
        <v>1087.3</v>
      </c>
      <c r="P7" s="2">
        <v>9.4778000000000001E-2</v>
      </c>
      <c r="Q7">
        <v>9.1052999999999997</v>
      </c>
      <c r="R7">
        <v>37.015000000000001</v>
      </c>
    </row>
    <row r="8" spans="2:18" x14ac:dyDescent="0.15">
      <c r="B8">
        <v>630</v>
      </c>
      <c r="C8">
        <v>187.96</v>
      </c>
      <c r="D8">
        <v>152.74</v>
      </c>
      <c r="E8">
        <v>968.62</v>
      </c>
      <c r="F8" s="2">
        <v>4.2133999999999998E-2</v>
      </c>
      <c r="G8">
        <v>8.9006000000000007</v>
      </c>
      <c r="H8">
        <v>20.568999999999999</v>
      </c>
      <c r="L8">
        <v>630</v>
      </c>
      <c r="M8">
        <v>304.52</v>
      </c>
      <c r="N8">
        <v>340.59</v>
      </c>
      <c r="O8">
        <v>1072</v>
      </c>
      <c r="P8" s="2">
        <v>9.4677999999999998E-2</v>
      </c>
      <c r="Q8">
        <v>9.7645</v>
      </c>
      <c r="R8">
        <v>45.115000000000002</v>
      </c>
    </row>
    <row r="9" spans="2:18" x14ac:dyDescent="0.15">
      <c r="B9">
        <v>638</v>
      </c>
      <c r="C9">
        <v>233.51</v>
      </c>
      <c r="D9">
        <v>139.36000000000001</v>
      </c>
      <c r="E9">
        <v>986.77</v>
      </c>
      <c r="F9" s="2">
        <v>4.2353000000000002E-2</v>
      </c>
      <c r="G9">
        <v>9.0696999999999992</v>
      </c>
      <c r="H9">
        <v>21.605</v>
      </c>
      <c r="L9">
        <v>638</v>
      </c>
      <c r="M9">
        <v>363.34</v>
      </c>
      <c r="N9">
        <v>318.33999999999997</v>
      </c>
      <c r="O9">
        <v>1087.3</v>
      </c>
      <c r="P9" s="2">
        <v>9.4778000000000001E-2</v>
      </c>
      <c r="Q9">
        <v>9.1052999999999997</v>
      </c>
      <c r="R9">
        <v>41.734999999999999</v>
      </c>
    </row>
    <row r="10" spans="2:18" x14ac:dyDescent="0.15">
      <c r="B10">
        <v>646</v>
      </c>
      <c r="C10">
        <v>231.83</v>
      </c>
      <c r="D10">
        <v>140.41</v>
      </c>
      <c r="E10">
        <v>997.07</v>
      </c>
      <c r="F10" s="2">
        <v>4.0977E-2</v>
      </c>
      <c r="G10">
        <v>8.9720999999999993</v>
      </c>
      <c r="H10">
        <v>6.8752000000000004</v>
      </c>
      <c r="L10">
        <v>646</v>
      </c>
      <c r="M10">
        <v>358.41</v>
      </c>
      <c r="N10">
        <v>320.02</v>
      </c>
      <c r="O10">
        <v>1098</v>
      </c>
      <c r="P10" s="2">
        <v>9.2234999999999998E-2</v>
      </c>
      <c r="Q10">
        <v>8.9276</v>
      </c>
      <c r="R10">
        <v>10.651999999999999</v>
      </c>
    </row>
    <row r="11" spans="2:18" x14ac:dyDescent="0.15">
      <c r="B11">
        <v>654</v>
      </c>
      <c r="C11">
        <v>187.1</v>
      </c>
      <c r="D11">
        <v>140.99</v>
      </c>
      <c r="E11">
        <v>977.85</v>
      </c>
      <c r="F11" s="2">
        <v>4.0781999999999999E-2</v>
      </c>
      <c r="G11">
        <v>8.9847999999999999</v>
      </c>
      <c r="H11">
        <v>3.1385999999999998</v>
      </c>
      <c r="L11">
        <v>654</v>
      </c>
      <c r="M11">
        <v>303.60000000000002</v>
      </c>
      <c r="N11">
        <v>317.33</v>
      </c>
      <c r="O11">
        <v>1082.7</v>
      </c>
      <c r="P11" s="2">
        <v>9.2116000000000003E-2</v>
      </c>
      <c r="Q11">
        <v>9.8661999999999992</v>
      </c>
      <c r="R11">
        <v>7.0449000000000002</v>
      </c>
    </row>
    <row r="12" spans="2:18" x14ac:dyDescent="0.15">
      <c r="B12">
        <v>662</v>
      </c>
      <c r="C12">
        <v>231.83</v>
      </c>
      <c r="D12">
        <v>154.12</v>
      </c>
      <c r="E12">
        <v>997.07</v>
      </c>
      <c r="F12" s="2">
        <v>4.0977E-2</v>
      </c>
      <c r="G12">
        <v>8.9720999999999993</v>
      </c>
      <c r="H12">
        <v>12.054</v>
      </c>
      <c r="L12">
        <v>662</v>
      </c>
      <c r="M12">
        <v>358.41</v>
      </c>
      <c r="N12">
        <v>333.73</v>
      </c>
      <c r="O12">
        <v>1098</v>
      </c>
      <c r="P12" s="2">
        <v>9.2234999999999998E-2</v>
      </c>
      <c r="Q12">
        <v>8.9276</v>
      </c>
      <c r="R12">
        <v>15.831</v>
      </c>
    </row>
    <row r="13" spans="2:18" x14ac:dyDescent="0.15">
      <c r="F13" s="2"/>
    </row>
    <row r="14" spans="2:18" x14ac:dyDescent="0.15">
      <c r="F14" s="2"/>
    </row>
    <row r="15" spans="2:18" x14ac:dyDescent="0.15">
      <c r="F15" s="2"/>
    </row>
    <row r="16" spans="2:18" x14ac:dyDescent="0.15">
      <c r="F16" s="2"/>
      <c r="H16" s="2"/>
    </row>
    <row r="17" spans="3:18" x14ac:dyDescent="0.15">
      <c r="F17" s="2"/>
      <c r="H17" s="2"/>
    </row>
    <row r="18" spans="3:18" x14ac:dyDescent="0.15">
      <c r="F18" s="2"/>
      <c r="H18" s="2"/>
    </row>
    <row r="19" spans="3:18" x14ac:dyDescent="0.15">
      <c r="E19" s="2"/>
      <c r="F19" s="2"/>
      <c r="H19" s="2"/>
    </row>
    <row r="20" spans="3:18" x14ac:dyDescent="0.15">
      <c r="E20" s="2"/>
      <c r="F20" s="2"/>
      <c r="H20" s="2"/>
    </row>
    <row r="21" spans="3:18" x14ac:dyDescent="0.15">
      <c r="E21" s="2"/>
      <c r="F21" s="2"/>
      <c r="H21" s="2"/>
    </row>
    <row r="22" spans="3:18" x14ac:dyDescent="0.15">
      <c r="F22" s="2"/>
    </row>
    <row r="23" spans="3:18" x14ac:dyDescent="0.15">
      <c r="E23" s="2"/>
      <c r="F23" s="2"/>
      <c r="G23" s="2"/>
    </row>
    <row r="24" spans="3:18" x14ac:dyDescent="0.15">
      <c r="C24" s="2"/>
      <c r="E24" s="2"/>
      <c r="F24" s="2"/>
      <c r="G24" s="2"/>
    </row>
    <row r="25" spans="3:18" x14ac:dyDescent="0.15">
      <c r="E25" s="2"/>
      <c r="F25" s="2"/>
    </row>
    <row r="26" spans="3:18" x14ac:dyDescent="0.15">
      <c r="F26" s="2"/>
    </row>
    <row r="27" spans="3:18" x14ac:dyDescent="0.15">
      <c r="E27" s="2"/>
      <c r="F27" s="2"/>
    </row>
    <row r="28" spans="3:18" x14ac:dyDescent="0.15">
      <c r="E28" s="2"/>
      <c r="F28" s="2"/>
    </row>
    <row r="29" spans="3:18" x14ac:dyDescent="0.15">
      <c r="E29" s="2"/>
      <c r="F29" s="2"/>
    </row>
    <row r="30" spans="3:18" x14ac:dyDescent="0.15">
      <c r="F30" s="2"/>
    </row>
    <row r="31" spans="3:18" x14ac:dyDescent="0.15">
      <c r="C31">
        <f>ABS(C1)</f>
        <v>221.72</v>
      </c>
      <c r="D31">
        <f t="shared" ref="D31:R31" si="0">ABS(D1)</f>
        <v>139.36000000000001</v>
      </c>
      <c r="E31">
        <f t="shared" si="0"/>
        <v>363.37</v>
      </c>
      <c r="F31">
        <f t="shared" si="0"/>
        <v>4.2353000000000002E-2</v>
      </c>
      <c r="G31">
        <f t="shared" si="0"/>
        <v>9.5612999999999992</v>
      </c>
      <c r="H31">
        <f t="shared" si="0"/>
        <v>21.605</v>
      </c>
      <c r="I31">
        <f t="shared" si="0"/>
        <v>0</v>
      </c>
      <c r="J31">
        <f t="shared" si="0"/>
        <v>0</v>
      </c>
      <c r="K31">
        <f t="shared" si="0"/>
        <v>0</v>
      </c>
      <c r="L31">
        <f t="shared" si="0"/>
        <v>622</v>
      </c>
      <c r="M31">
        <f t="shared" si="0"/>
        <v>351.54</v>
      </c>
      <c r="N31">
        <f t="shared" si="0"/>
        <v>318.33999999999997</v>
      </c>
      <c r="O31">
        <f t="shared" si="0"/>
        <v>262.87</v>
      </c>
      <c r="P31">
        <f t="shared" si="0"/>
        <v>9.4778000000000001E-2</v>
      </c>
      <c r="Q31">
        <f t="shared" si="0"/>
        <v>9.5968999999999998</v>
      </c>
      <c r="R31">
        <f t="shared" si="0"/>
        <v>41.734999999999999</v>
      </c>
    </row>
    <row r="32" spans="3:18" x14ac:dyDescent="0.15">
      <c r="C32">
        <f t="shared" ref="C32:R32" si="1">ABS(C2)</f>
        <v>211.55</v>
      </c>
      <c r="D32">
        <f t="shared" si="1"/>
        <v>152.74</v>
      </c>
      <c r="E32">
        <f t="shared" si="1"/>
        <v>145.94999999999999</v>
      </c>
      <c r="F32">
        <f t="shared" si="1"/>
        <v>4.2133999999999998E-2</v>
      </c>
      <c r="G32">
        <f t="shared" si="1"/>
        <v>7.9173999999999998</v>
      </c>
      <c r="H32">
        <f t="shared" si="1"/>
        <v>20.568999999999999</v>
      </c>
      <c r="I32">
        <f t="shared" si="1"/>
        <v>0</v>
      </c>
      <c r="J32">
        <f t="shared" si="1"/>
        <v>0</v>
      </c>
      <c r="K32">
        <f t="shared" si="1"/>
        <v>0</v>
      </c>
      <c r="L32">
        <f t="shared" si="1"/>
        <v>630</v>
      </c>
      <c r="M32">
        <f t="shared" si="1"/>
        <v>328.11</v>
      </c>
      <c r="N32">
        <f t="shared" si="1"/>
        <v>340.59</v>
      </c>
      <c r="O32">
        <f t="shared" si="1"/>
        <v>42.601999999999997</v>
      </c>
      <c r="P32">
        <f t="shared" si="1"/>
        <v>9.4677999999999998E-2</v>
      </c>
      <c r="Q32">
        <f t="shared" si="1"/>
        <v>8.7812999999999999</v>
      </c>
      <c r="R32">
        <f t="shared" si="1"/>
        <v>45.115000000000002</v>
      </c>
    </row>
    <row r="33" spans="3:18" x14ac:dyDescent="0.15">
      <c r="C33">
        <f t="shared" ref="C33:R33" si="2">ABS(C3)</f>
        <v>221.72</v>
      </c>
      <c r="D33">
        <f t="shared" si="2"/>
        <v>156.65</v>
      </c>
      <c r="E33">
        <f t="shared" si="2"/>
        <v>363.37</v>
      </c>
      <c r="F33">
        <f t="shared" si="2"/>
        <v>4.2353000000000002E-2</v>
      </c>
      <c r="G33">
        <f t="shared" si="2"/>
        <v>9.5612999999999992</v>
      </c>
      <c r="H33">
        <f t="shared" si="2"/>
        <v>16.885000000000002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638</v>
      </c>
      <c r="M33">
        <f t="shared" si="2"/>
        <v>351.54</v>
      </c>
      <c r="N33">
        <f t="shared" si="2"/>
        <v>335.63</v>
      </c>
      <c r="O33">
        <f t="shared" si="2"/>
        <v>262.87</v>
      </c>
      <c r="P33">
        <f t="shared" si="2"/>
        <v>9.4778000000000001E-2</v>
      </c>
      <c r="Q33">
        <f t="shared" si="2"/>
        <v>9.5968999999999998</v>
      </c>
      <c r="R33">
        <f t="shared" si="2"/>
        <v>37.015000000000001</v>
      </c>
    </row>
    <row r="34" spans="3:18" x14ac:dyDescent="0.15">
      <c r="C34">
        <f t="shared" ref="C34:R34" si="3">ABS(C4)</f>
        <v>218.34</v>
      </c>
      <c r="D34">
        <f t="shared" si="3"/>
        <v>154.12</v>
      </c>
      <c r="E34">
        <f t="shared" si="3"/>
        <v>353.55</v>
      </c>
      <c r="F34">
        <f t="shared" si="3"/>
        <v>4.0977E-2</v>
      </c>
      <c r="G34">
        <f t="shared" si="3"/>
        <v>9.5374999999999996</v>
      </c>
      <c r="H34">
        <f t="shared" si="3"/>
        <v>12.054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646</v>
      </c>
      <c r="M34">
        <f t="shared" si="3"/>
        <v>344.92</v>
      </c>
      <c r="N34">
        <f t="shared" si="3"/>
        <v>333.73</v>
      </c>
      <c r="O34">
        <f t="shared" si="3"/>
        <v>252.6</v>
      </c>
      <c r="P34">
        <f t="shared" si="3"/>
        <v>9.2234999999999998E-2</v>
      </c>
      <c r="Q34">
        <f t="shared" si="3"/>
        <v>9.4931000000000001</v>
      </c>
      <c r="R34">
        <f t="shared" si="3"/>
        <v>15.831</v>
      </c>
    </row>
    <row r="35" spans="3:18" x14ac:dyDescent="0.15">
      <c r="C35">
        <f t="shared" ref="C35:R35" si="4">ABS(C5)</f>
        <v>214.07</v>
      </c>
      <c r="D35">
        <f t="shared" si="4"/>
        <v>140.99</v>
      </c>
      <c r="E35">
        <f t="shared" si="4"/>
        <v>135.78</v>
      </c>
      <c r="F35">
        <f t="shared" si="4"/>
        <v>4.0781999999999999E-2</v>
      </c>
      <c r="G35">
        <f t="shared" si="4"/>
        <v>7.8539000000000003</v>
      </c>
      <c r="H35">
        <f t="shared" si="4"/>
        <v>3.1385999999999998</v>
      </c>
      <c r="I35">
        <f t="shared" si="4"/>
        <v>0</v>
      </c>
      <c r="J35">
        <f t="shared" si="4"/>
        <v>0</v>
      </c>
      <c r="K35">
        <f t="shared" si="4"/>
        <v>0</v>
      </c>
      <c r="L35">
        <f t="shared" si="4"/>
        <v>654</v>
      </c>
      <c r="M35">
        <f t="shared" si="4"/>
        <v>330.57</v>
      </c>
      <c r="N35">
        <f t="shared" si="4"/>
        <v>317.33</v>
      </c>
      <c r="O35">
        <f t="shared" si="4"/>
        <v>30.945</v>
      </c>
      <c r="P35">
        <f t="shared" si="4"/>
        <v>9.2116000000000003E-2</v>
      </c>
      <c r="Q35">
        <f t="shared" si="4"/>
        <v>8.7353000000000005</v>
      </c>
      <c r="R35">
        <f t="shared" si="4"/>
        <v>7.0449000000000002</v>
      </c>
    </row>
    <row r="36" spans="3:18" x14ac:dyDescent="0.15">
      <c r="C36">
        <f t="shared" ref="C36:R36" si="5">ABS(C6)</f>
        <v>218.34</v>
      </c>
      <c r="D36">
        <f t="shared" si="5"/>
        <v>140.41</v>
      </c>
      <c r="E36">
        <f t="shared" si="5"/>
        <v>353.55</v>
      </c>
      <c r="F36">
        <f t="shared" si="5"/>
        <v>4.0977E-2</v>
      </c>
      <c r="G36">
        <f t="shared" si="5"/>
        <v>9.5374999999999996</v>
      </c>
      <c r="H36">
        <f t="shared" si="5"/>
        <v>6.8752000000000004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662</v>
      </c>
      <c r="M36">
        <f t="shared" si="5"/>
        <v>344.92</v>
      </c>
      <c r="N36">
        <f t="shared" si="5"/>
        <v>320.02</v>
      </c>
      <c r="O36">
        <f t="shared" si="5"/>
        <v>252.6</v>
      </c>
      <c r="P36">
        <f t="shared" si="5"/>
        <v>9.2234999999999998E-2</v>
      </c>
      <c r="Q36">
        <f t="shared" si="5"/>
        <v>9.4931000000000001</v>
      </c>
      <c r="R36">
        <f t="shared" si="5"/>
        <v>10.651999999999999</v>
      </c>
    </row>
    <row r="37" spans="3:18" x14ac:dyDescent="0.15">
      <c r="C37">
        <f t="shared" ref="C37:R37" si="6">ABS(C7)</f>
        <v>233.51</v>
      </c>
      <c r="D37">
        <f t="shared" si="6"/>
        <v>156.65</v>
      </c>
      <c r="E37">
        <f t="shared" si="6"/>
        <v>986.77</v>
      </c>
      <c r="F37">
        <f t="shared" si="6"/>
        <v>4.2353000000000002E-2</v>
      </c>
      <c r="G37">
        <f t="shared" si="6"/>
        <v>9.0696999999999992</v>
      </c>
      <c r="H37">
        <f t="shared" si="6"/>
        <v>16.885000000000002</v>
      </c>
      <c r="I37">
        <f t="shared" si="6"/>
        <v>0</v>
      </c>
      <c r="J37">
        <f t="shared" si="6"/>
        <v>0</v>
      </c>
      <c r="K37">
        <f t="shared" si="6"/>
        <v>0</v>
      </c>
      <c r="L37">
        <f t="shared" si="6"/>
        <v>622</v>
      </c>
      <c r="M37">
        <f t="shared" si="6"/>
        <v>363.34</v>
      </c>
      <c r="N37">
        <f t="shared" si="6"/>
        <v>335.63</v>
      </c>
      <c r="O37">
        <f t="shared" si="6"/>
        <v>1087.3</v>
      </c>
      <c r="P37">
        <f t="shared" si="6"/>
        <v>9.4778000000000001E-2</v>
      </c>
      <c r="Q37">
        <f t="shared" si="6"/>
        <v>9.1052999999999997</v>
      </c>
      <c r="R37">
        <f t="shared" si="6"/>
        <v>37.015000000000001</v>
      </c>
    </row>
    <row r="38" spans="3:18" x14ac:dyDescent="0.15">
      <c r="C38">
        <f t="shared" ref="C38:R38" si="7">ABS(C8)</f>
        <v>187.96</v>
      </c>
      <c r="D38">
        <f t="shared" si="7"/>
        <v>152.74</v>
      </c>
      <c r="E38">
        <f t="shared" si="7"/>
        <v>968.62</v>
      </c>
      <c r="F38">
        <f t="shared" si="7"/>
        <v>4.2133999999999998E-2</v>
      </c>
      <c r="G38">
        <f t="shared" si="7"/>
        <v>8.9006000000000007</v>
      </c>
      <c r="H38">
        <f t="shared" si="7"/>
        <v>20.568999999999999</v>
      </c>
      <c r="I38">
        <f t="shared" si="7"/>
        <v>0</v>
      </c>
      <c r="J38">
        <f t="shared" si="7"/>
        <v>0</v>
      </c>
      <c r="K38">
        <f t="shared" si="7"/>
        <v>0</v>
      </c>
      <c r="L38">
        <f t="shared" si="7"/>
        <v>630</v>
      </c>
      <c r="M38">
        <f t="shared" si="7"/>
        <v>304.52</v>
      </c>
      <c r="N38">
        <f t="shared" si="7"/>
        <v>340.59</v>
      </c>
      <c r="O38">
        <f t="shared" si="7"/>
        <v>1072</v>
      </c>
      <c r="P38">
        <f t="shared" si="7"/>
        <v>9.4677999999999998E-2</v>
      </c>
      <c r="Q38">
        <f t="shared" si="7"/>
        <v>9.7645</v>
      </c>
      <c r="R38">
        <f t="shared" si="7"/>
        <v>45.115000000000002</v>
      </c>
    </row>
    <row r="39" spans="3:18" x14ac:dyDescent="0.15">
      <c r="C39">
        <f t="shared" ref="C39:R39" si="8">ABS(C9)</f>
        <v>233.51</v>
      </c>
      <c r="D39">
        <f t="shared" si="8"/>
        <v>139.36000000000001</v>
      </c>
      <c r="E39">
        <f t="shared" si="8"/>
        <v>986.77</v>
      </c>
      <c r="F39">
        <f t="shared" si="8"/>
        <v>4.2353000000000002E-2</v>
      </c>
      <c r="G39">
        <f t="shared" si="8"/>
        <v>9.0696999999999992</v>
      </c>
      <c r="H39">
        <f t="shared" si="8"/>
        <v>21.605</v>
      </c>
      <c r="I39">
        <f t="shared" si="8"/>
        <v>0</v>
      </c>
      <c r="J39">
        <f t="shared" si="8"/>
        <v>0</v>
      </c>
      <c r="K39">
        <f t="shared" si="8"/>
        <v>0</v>
      </c>
      <c r="L39">
        <f t="shared" si="8"/>
        <v>638</v>
      </c>
      <c r="M39">
        <f t="shared" si="8"/>
        <v>363.34</v>
      </c>
      <c r="N39">
        <f t="shared" si="8"/>
        <v>318.33999999999997</v>
      </c>
      <c r="O39">
        <f t="shared" si="8"/>
        <v>1087.3</v>
      </c>
      <c r="P39">
        <f t="shared" si="8"/>
        <v>9.4778000000000001E-2</v>
      </c>
      <c r="Q39">
        <f t="shared" si="8"/>
        <v>9.1052999999999997</v>
      </c>
      <c r="R39">
        <f t="shared" si="8"/>
        <v>41.734999999999999</v>
      </c>
    </row>
    <row r="40" spans="3:18" x14ac:dyDescent="0.15">
      <c r="C40">
        <f t="shared" ref="C40:R40" si="9">ABS(C10)</f>
        <v>231.83</v>
      </c>
      <c r="D40">
        <f t="shared" si="9"/>
        <v>140.41</v>
      </c>
      <c r="E40">
        <f t="shared" si="9"/>
        <v>997.07</v>
      </c>
      <c r="F40">
        <f t="shared" si="9"/>
        <v>4.0977E-2</v>
      </c>
      <c r="G40">
        <f t="shared" si="9"/>
        <v>8.9720999999999993</v>
      </c>
      <c r="H40">
        <f t="shared" si="9"/>
        <v>6.8752000000000004</v>
      </c>
      <c r="I40">
        <f t="shared" si="9"/>
        <v>0</v>
      </c>
      <c r="J40">
        <f t="shared" si="9"/>
        <v>0</v>
      </c>
      <c r="K40">
        <f t="shared" si="9"/>
        <v>0</v>
      </c>
      <c r="L40">
        <f t="shared" si="9"/>
        <v>646</v>
      </c>
      <c r="M40">
        <f t="shared" si="9"/>
        <v>358.41</v>
      </c>
      <c r="N40">
        <f t="shared" si="9"/>
        <v>320.02</v>
      </c>
      <c r="O40">
        <f t="shared" si="9"/>
        <v>1098</v>
      </c>
      <c r="P40">
        <f t="shared" si="9"/>
        <v>9.2234999999999998E-2</v>
      </c>
      <c r="Q40">
        <f t="shared" si="9"/>
        <v>8.9276</v>
      </c>
      <c r="R40">
        <f t="shared" si="9"/>
        <v>10.651999999999999</v>
      </c>
    </row>
    <row r="41" spans="3:18" x14ac:dyDescent="0.15">
      <c r="C41">
        <f t="shared" ref="C41:R41" si="10">ABS(C11)</f>
        <v>187.1</v>
      </c>
      <c r="D41">
        <f t="shared" si="10"/>
        <v>140.99</v>
      </c>
      <c r="E41">
        <f t="shared" si="10"/>
        <v>977.85</v>
      </c>
      <c r="F41">
        <f t="shared" si="10"/>
        <v>4.0781999999999999E-2</v>
      </c>
      <c r="G41">
        <f t="shared" si="10"/>
        <v>8.9847999999999999</v>
      </c>
      <c r="H41">
        <f t="shared" si="10"/>
        <v>3.1385999999999998</v>
      </c>
      <c r="I41">
        <f t="shared" si="10"/>
        <v>0</v>
      </c>
      <c r="J41">
        <f t="shared" si="10"/>
        <v>0</v>
      </c>
      <c r="K41">
        <f t="shared" si="10"/>
        <v>0</v>
      </c>
      <c r="L41">
        <f t="shared" si="10"/>
        <v>654</v>
      </c>
      <c r="M41">
        <f t="shared" si="10"/>
        <v>303.60000000000002</v>
      </c>
      <c r="N41">
        <f t="shared" si="10"/>
        <v>317.33</v>
      </c>
      <c r="O41">
        <f t="shared" si="10"/>
        <v>1082.7</v>
      </c>
      <c r="P41">
        <f t="shared" si="10"/>
        <v>9.2116000000000003E-2</v>
      </c>
      <c r="Q41">
        <f t="shared" si="10"/>
        <v>9.8661999999999992</v>
      </c>
      <c r="R41">
        <f t="shared" si="10"/>
        <v>7.0449000000000002</v>
      </c>
    </row>
    <row r="42" spans="3:18" x14ac:dyDescent="0.15">
      <c r="C42">
        <f t="shared" ref="C42:R42" si="11">ABS(C12)</f>
        <v>231.83</v>
      </c>
      <c r="D42">
        <f t="shared" si="11"/>
        <v>154.12</v>
      </c>
      <c r="E42">
        <f t="shared" si="11"/>
        <v>997.07</v>
      </c>
      <c r="F42">
        <f t="shared" si="11"/>
        <v>4.0977E-2</v>
      </c>
      <c r="G42">
        <f t="shared" si="11"/>
        <v>8.9720999999999993</v>
      </c>
      <c r="H42">
        <f t="shared" si="11"/>
        <v>12.054</v>
      </c>
      <c r="I42">
        <f t="shared" si="11"/>
        <v>0</v>
      </c>
      <c r="J42">
        <f t="shared" si="11"/>
        <v>0</v>
      </c>
      <c r="K42">
        <f t="shared" si="11"/>
        <v>0</v>
      </c>
      <c r="L42">
        <f t="shared" si="11"/>
        <v>662</v>
      </c>
      <c r="M42">
        <f t="shared" si="11"/>
        <v>358.41</v>
      </c>
      <c r="N42">
        <f t="shared" si="11"/>
        <v>333.73</v>
      </c>
      <c r="O42">
        <f t="shared" si="11"/>
        <v>1098</v>
      </c>
      <c r="P42">
        <f t="shared" si="11"/>
        <v>9.2234999999999998E-2</v>
      </c>
      <c r="Q42">
        <f t="shared" si="11"/>
        <v>8.9276</v>
      </c>
      <c r="R42">
        <f t="shared" si="11"/>
        <v>15.831</v>
      </c>
    </row>
    <row r="43" spans="3:18" x14ac:dyDescent="0.15">
      <c r="C43">
        <f t="shared" ref="C43:R43" si="12">ABS(C13)</f>
        <v>0</v>
      </c>
      <c r="D43">
        <f t="shared" si="12"/>
        <v>0</v>
      </c>
      <c r="E43">
        <f t="shared" si="12"/>
        <v>0</v>
      </c>
      <c r="F43">
        <f t="shared" si="12"/>
        <v>0</v>
      </c>
      <c r="G43">
        <f t="shared" si="12"/>
        <v>0</v>
      </c>
      <c r="H43">
        <f t="shared" si="12"/>
        <v>0</v>
      </c>
      <c r="I43">
        <f t="shared" si="12"/>
        <v>0</v>
      </c>
      <c r="J43">
        <f t="shared" si="12"/>
        <v>0</v>
      </c>
      <c r="K43">
        <f t="shared" si="12"/>
        <v>0</v>
      </c>
      <c r="L43">
        <f t="shared" si="12"/>
        <v>0</v>
      </c>
      <c r="M43">
        <f t="shared" si="12"/>
        <v>0</v>
      </c>
      <c r="N43">
        <f t="shared" si="12"/>
        <v>0</v>
      </c>
      <c r="O43">
        <f t="shared" si="12"/>
        <v>0</v>
      </c>
      <c r="P43">
        <f t="shared" si="12"/>
        <v>0</v>
      </c>
      <c r="Q43">
        <f t="shared" si="12"/>
        <v>0</v>
      </c>
      <c r="R43">
        <f t="shared" si="12"/>
        <v>0</v>
      </c>
    </row>
    <row r="44" spans="3:18" x14ac:dyDescent="0.15">
      <c r="C44">
        <f t="shared" ref="C44:R44" si="13">ABS(C14)</f>
        <v>0</v>
      </c>
      <c r="D44">
        <f t="shared" si="13"/>
        <v>0</v>
      </c>
      <c r="E44">
        <f t="shared" si="13"/>
        <v>0</v>
      </c>
      <c r="F44">
        <f t="shared" si="13"/>
        <v>0</v>
      </c>
      <c r="G44">
        <f t="shared" si="13"/>
        <v>0</v>
      </c>
      <c r="H44">
        <f t="shared" si="13"/>
        <v>0</v>
      </c>
      <c r="I44">
        <f t="shared" si="13"/>
        <v>0</v>
      </c>
      <c r="J44">
        <f t="shared" si="13"/>
        <v>0</v>
      </c>
      <c r="K44">
        <f t="shared" si="13"/>
        <v>0</v>
      </c>
      <c r="L44">
        <f t="shared" si="13"/>
        <v>0</v>
      </c>
      <c r="M44">
        <f t="shared" si="13"/>
        <v>0</v>
      </c>
      <c r="N44">
        <f t="shared" si="13"/>
        <v>0</v>
      </c>
      <c r="O44">
        <f t="shared" si="13"/>
        <v>0</v>
      </c>
      <c r="P44">
        <f t="shared" si="13"/>
        <v>0</v>
      </c>
      <c r="Q44">
        <f t="shared" si="13"/>
        <v>0</v>
      </c>
      <c r="R44">
        <f t="shared" si="13"/>
        <v>0</v>
      </c>
    </row>
    <row r="45" spans="3:18" x14ac:dyDescent="0.15">
      <c r="C45">
        <f t="shared" ref="C45:R45" si="14">ABS(C15)</f>
        <v>0</v>
      </c>
      <c r="D45">
        <f t="shared" si="14"/>
        <v>0</v>
      </c>
      <c r="E45">
        <f t="shared" si="14"/>
        <v>0</v>
      </c>
      <c r="F45">
        <f t="shared" si="14"/>
        <v>0</v>
      </c>
      <c r="G45">
        <f t="shared" si="14"/>
        <v>0</v>
      </c>
      <c r="H45">
        <f t="shared" si="14"/>
        <v>0</v>
      </c>
      <c r="I45">
        <f t="shared" si="14"/>
        <v>0</v>
      </c>
      <c r="J45">
        <f t="shared" si="14"/>
        <v>0</v>
      </c>
      <c r="K45">
        <f t="shared" si="14"/>
        <v>0</v>
      </c>
      <c r="L45">
        <f t="shared" si="14"/>
        <v>0</v>
      </c>
      <c r="M45">
        <f t="shared" si="14"/>
        <v>0</v>
      </c>
      <c r="N45">
        <f t="shared" si="14"/>
        <v>0</v>
      </c>
      <c r="O45">
        <f t="shared" si="14"/>
        <v>0</v>
      </c>
      <c r="P45">
        <f t="shared" si="14"/>
        <v>0</v>
      </c>
      <c r="Q45">
        <f t="shared" si="14"/>
        <v>0</v>
      </c>
      <c r="R45">
        <f t="shared" si="14"/>
        <v>0</v>
      </c>
    </row>
    <row r="46" spans="3:18" x14ac:dyDescent="0.15">
      <c r="C46">
        <f t="shared" ref="C46:R46" si="15">ABS(C16)</f>
        <v>0</v>
      </c>
      <c r="D46">
        <f t="shared" si="15"/>
        <v>0</v>
      </c>
      <c r="E46">
        <f t="shared" si="15"/>
        <v>0</v>
      </c>
      <c r="F46">
        <f t="shared" si="15"/>
        <v>0</v>
      </c>
      <c r="G46">
        <f t="shared" si="15"/>
        <v>0</v>
      </c>
      <c r="H46">
        <f t="shared" si="15"/>
        <v>0</v>
      </c>
      <c r="I46">
        <f t="shared" si="15"/>
        <v>0</v>
      </c>
      <c r="J46">
        <f t="shared" si="15"/>
        <v>0</v>
      </c>
      <c r="K46">
        <f t="shared" si="15"/>
        <v>0</v>
      </c>
      <c r="L46">
        <f t="shared" si="15"/>
        <v>0</v>
      </c>
      <c r="M46">
        <f t="shared" si="15"/>
        <v>0</v>
      </c>
      <c r="N46">
        <f t="shared" si="15"/>
        <v>0</v>
      </c>
      <c r="O46">
        <f t="shared" si="15"/>
        <v>0</v>
      </c>
      <c r="P46">
        <f t="shared" si="15"/>
        <v>0</v>
      </c>
      <c r="Q46">
        <f t="shared" si="15"/>
        <v>0</v>
      </c>
      <c r="R46">
        <f t="shared" si="15"/>
        <v>0</v>
      </c>
    </row>
    <row r="47" spans="3:18" x14ac:dyDescent="0.15">
      <c r="C47">
        <f t="shared" ref="C47:R47" si="16">ABS(C17)</f>
        <v>0</v>
      </c>
      <c r="D47">
        <f t="shared" si="16"/>
        <v>0</v>
      </c>
      <c r="E47">
        <f t="shared" si="16"/>
        <v>0</v>
      </c>
      <c r="F47">
        <f t="shared" si="16"/>
        <v>0</v>
      </c>
      <c r="G47">
        <f t="shared" si="16"/>
        <v>0</v>
      </c>
      <c r="H47">
        <f t="shared" si="16"/>
        <v>0</v>
      </c>
      <c r="I47">
        <f t="shared" si="16"/>
        <v>0</v>
      </c>
      <c r="J47">
        <f t="shared" si="16"/>
        <v>0</v>
      </c>
      <c r="K47">
        <f t="shared" si="16"/>
        <v>0</v>
      </c>
      <c r="L47">
        <f t="shared" si="16"/>
        <v>0</v>
      </c>
      <c r="M47">
        <f t="shared" si="16"/>
        <v>0</v>
      </c>
      <c r="N47">
        <f t="shared" si="16"/>
        <v>0</v>
      </c>
      <c r="O47">
        <f t="shared" si="16"/>
        <v>0</v>
      </c>
      <c r="P47">
        <f t="shared" si="16"/>
        <v>0</v>
      </c>
      <c r="Q47">
        <f t="shared" si="16"/>
        <v>0</v>
      </c>
      <c r="R47">
        <f t="shared" si="16"/>
        <v>0</v>
      </c>
    </row>
    <row r="48" spans="3:18" x14ac:dyDescent="0.15">
      <c r="C48">
        <f t="shared" ref="C48:R48" si="17">ABS(C18)</f>
        <v>0</v>
      </c>
      <c r="D48">
        <f t="shared" si="17"/>
        <v>0</v>
      </c>
      <c r="E48">
        <f t="shared" si="17"/>
        <v>0</v>
      </c>
      <c r="F48">
        <f t="shared" si="17"/>
        <v>0</v>
      </c>
      <c r="G48">
        <f t="shared" si="17"/>
        <v>0</v>
      </c>
      <c r="H48">
        <f t="shared" si="17"/>
        <v>0</v>
      </c>
      <c r="I48">
        <f t="shared" si="17"/>
        <v>0</v>
      </c>
      <c r="J48">
        <f t="shared" si="17"/>
        <v>0</v>
      </c>
      <c r="K48">
        <f t="shared" si="17"/>
        <v>0</v>
      </c>
      <c r="L48">
        <f t="shared" si="17"/>
        <v>0</v>
      </c>
      <c r="M48">
        <f t="shared" si="17"/>
        <v>0</v>
      </c>
      <c r="N48">
        <f t="shared" si="17"/>
        <v>0</v>
      </c>
      <c r="O48">
        <f t="shared" si="17"/>
        <v>0</v>
      </c>
      <c r="P48">
        <f t="shared" si="17"/>
        <v>0</v>
      </c>
      <c r="Q48">
        <f t="shared" si="17"/>
        <v>0</v>
      </c>
      <c r="R48">
        <f t="shared" si="17"/>
        <v>0</v>
      </c>
    </row>
    <row r="49" spans="3:18" x14ac:dyDescent="0.15">
      <c r="C49">
        <f t="shared" ref="C49:R49" si="18">ABS(C19)</f>
        <v>0</v>
      </c>
      <c r="D49">
        <f t="shared" si="18"/>
        <v>0</v>
      </c>
      <c r="E49">
        <f t="shared" si="18"/>
        <v>0</v>
      </c>
      <c r="F49">
        <f t="shared" si="18"/>
        <v>0</v>
      </c>
      <c r="G49">
        <f t="shared" si="18"/>
        <v>0</v>
      </c>
      <c r="H49">
        <f t="shared" si="18"/>
        <v>0</v>
      </c>
      <c r="I49">
        <f t="shared" si="18"/>
        <v>0</v>
      </c>
      <c r="J49">
        <f t="shared" si="18"/>
        <v>0</v>
      </c>
      <c r="K49">
        <f t="shared" si="18"/>
        <v>0</v>
      </c>
      <c r="L49">
        <f t="shared" si="18"/>
        <v>0</v>
      </c>
      <c r="M49">
        <f t="shared" si="18"/>
        <v>0</v>
      </c>
      <c r="N49">
        <f t="shared" si="18"/>
        <v>0</v>
      </c>
      <c r="O49">
        <f t="shared" si="18"/>
        <v>0</v>
      </c>
      <c r="P49">
        <f t="shared" si="18"/>
        <v>0</v>
      </c>
      <c r="Q49">
        <f t="shared" si="18"/>
        <v>0</v>
      </c>
      <c r="R49">
        <f t="shared" si="18"/>
        <v>0</v>
      </c>
    </row>
    <row r="50" spans="3:18" x14ac:dyDescent="0.15">
      <c r="C50">
        <f t="shared" ref="C50:R50" si="19">ABS(C20)</f>
        <v>0</v>
      </c>
      <c r="D50">
        <f t="shared" si="19"/>
        <v>0</v>
      </c>
      <c r="E50">
        <f t="shared" si="19"/>
        <v>0</v>
      </c>
      <c r="F50">
        <f t="shared" si="19"/>
        <v>0</v>
      </c>
      <c r="G50">
        <f t="shared" si="19"/>
        <v>0</v>
      </c>
      <c r="H50">
        <f t="shared" si="19"/>
        <v>0</v>
      </c>
      <c r="I50">
        <f t="shared" si="19"/>
        <v>0</v>
      </c>
      <c r="J50">
        <f t="shared" si="19"/>
        <v>0</v>
      </c>
      <c r="K50">
        <f t="shared" si="19"/>
        <v>0</v>
      </c>
      <c r="L50">
        <f t="shared" si="19"/>
        <v>0</v>
      </c>
      <c r="M50">
        <f t="shared" si="19"/>
        <v>0</v>
      </c>
      <c r="N50">
        <f t="shared" si="19"/>
        <v>0</v>
      </c>
      <c r="O50">
        <f t="shared" si="19"/>
        <v>0</v>
      </c>
      <c r="P50">
        <f t="shared" si="19"/>
        <v>0</v>
      </c>
      <c r="Q50">
        <f t="shared" si="19"/>
        <v>0</v>
      </c>
      <c r="R50">
        <f t="shared" si="19"/>
        <v>0</v>
      </c>
    </row>
    <row r="51" spans="3:18" x14ac:dyDescent="0.15">
      <c r="C51">
        <f t="shared" ref="C51:R51" si="20">ABS(C21)</f>
        <v>0</v>
      </c>
      <c r="D51">
        <f t="shared" si="20"/>
        <v>0</v>
      </c>
      <c r="E51">
        <f t="shared" si="20"/>
        <v>0</v>
      </c>
      <c r="F51">
        <f t="shared" si="20"/>
        <v>0</v>
      </c>
      <c r="G51">
        <f t="shared" si="20"/>
        <v>0</v>
      </c>
      <c r="H51">
        <f t="shared" si="20"/>
        <v>0</v>
      </c>
      <c r="I51">
        <f t="shared" si="20"/>
        <v>0</v>
      </c>
      <c r="J51">
        <f t="shared" si="20"/>
        <v>0</v>
      </c>
      <c r="K51">
        <f t="shared" si="20"/>
        <v>0</v>
      </c>
      <c r="L51">
        <f t="shared" si="20"/>
        <v>0</v>
      </c>
      <c r="M51">
        <f t="shared" si="20"/>
        <v>0</v>
      </c>
      <c r="N51">
        <f t="shared" si="20"/>
        <v>0</v>
      </c>
      <c r="O51">
        <f t="shared" si="20"/>
        <v>0</v>
      </c>
      <c r="P51">
        <f t="shared" si="20"/>
        <v>0</v>
      </c>
      <c r="Q51">
        <f t="shared" si="20"/>
        <v>0</v>
      </c>
      <c r="R51">
        <f t="shared" si="20"/>
        <v>0</v>
      </c>
    </row>
    <row r="52" spans="3:18" x14ac:dyDescent="0.15">
      <c r="C52">
        <f t="shared" ref="C52:R52" si="21">ABS(C22)</f>
        <v>0</v>
      </c>
      <c r="D52">
        <f t="shared" si="21"/>
        <v>0</v>
      </c>
      <c r="E52">
        <f t="shared" si="21"/>
        <v>0</v>
      </c>
      <c r="F52">
        <f t="shared" si="21"/>
        <v>0</v>
      </c>
      <c r="G52">
        <f t="shared" si="21"/>
        <v>0</v>
      </c>
      <c r="H52">
        <f t="shared" si="21"/>
        <v>0</v>
      </c>
      <c r="I52">
        <f t="shared" si="21"/>
        <v>0</v>
      </c>
      <c r="J52">
        <f t="shared" si="21"/>
        <v>0</v>
      </c>
      <c r="K52">
        <f t="shared" si="21"/>
        <v>0</v>
      </c>
      <c r="L52">
        <f t="shared" si="21"/>
        <v>0</v>
      </c>
      <c r="M52">
        <f t="shared" si="21"/>
        <v>0</v>
      </c>
      <c r="N52">
        <f t="shared" si="21"/>
        <v>0</v>
      </c>
      <c r="O52">
        <f t="shared" si="21"/>
        <v>0</v>
      </c>
      <c r="P52">
        <f t="shared" si="21"/>
        <v>0</v>
      </c>
      <c r="Q52">
        <f t="shared" si="21"/>
        <v>0</v>
      </c>
      <c r="R52">
        <f t="shared" si="21"/>
        <v>0</v>
      </c>
    </row>
    <row r="53" spans="3:18" x14ac:dyDescent="0.15">
      <c r="C53">
        <f t="shared" ref="C53:R53" si="22">ABS(C23)</f>
        <v>0</v>
      </c>
      <c r="D53">
        <f t="shared" si="22"/>
        <v>0</v>
      </c>
      <c r="E53">
        <f t="shared" si="22"/>
        <v>0</v>
      </c>
      <c r="F53">
        <f t="shared" si="22"/>
        <v>0</v>
      </c>
      <c r="G53">
        <f t="shared" si="22"/>
        <v>0</v>
      </c>
      <c r="H53">
        <f t="shared" si="22"/>
        <v>0</v>
      </c>
      <c r="I53">
        <f t="shared" si="22"/>
        <v>0</v>
      </c>
      <c r="J53">
        <f t="shared" si="22"/>
        <v>0</v>
      </c>
      <c r="K53">
        <f t="shared" si="22"/>
        <v>0</v>
      </c>
      <c r="L53">
        <f t="shared" si="22"/>
        <v>0</v>
      </c>
      <c r="M53">
        <f t="shared" si="22"/>
        <v>0</v>
      </c>
      <c r="N53">
        <f t="shared" si="22"/>
        <v>0</v>
      </c>
      <c r="O53">
        <f t="shared" si="22"/>
        <v>0</v>
      </c>
      <c r="P53">
        <f t="shared" si="22"/>
        <v>0</v>
      </c>
      <c r="Q53">
        <f t="shared" si="22"/>
        <v>0</v>
      </c>
      <c r="R53">
        <f t="shared" si="22"/>
        <v>0</v>
      </c>
    </row>
    <row r="54" spans="3:18" x14ac:dyDescent="0.15">
      <c r="C54">
        <f t="shared" ref="C54:R54" si="23">ABS(C24)</f>
        <v>0</v>
      </c>
      <c r="D54">
        <f t="shared" si="23"/>
        <v>0</v>
      </c>
      <c r="E54">
        <f t="shared" si="23"/>
        <v>0</v>
      </c>
      <c r="F54">
        <f t="shared" si="23"/>
        <v>0</v>
      </c>
      <c r="G54">
        <f t="shared" si="23"/>
        <v>0</v>
      </c>
      <c r="H54">
        <f t="shared" si="23"/>
        <v>0</v>
      </c>
      <c r="I54">
        <f t="shared" si="23"/>
        <v>0</v>
      </c>
      <c r="J54">
        <f t="shared" si="23"/>
        <v>0</v>
      </c>
      <c r="K54">
        <f t="shared" si="23"/>
        <v>0</v>
      </c>
      <c r="L54">
        <f t="shared" si="23"/>
        <v>0</v>
      </c>
      <c r="M54">
        <f t="shared" si="23"/>
        <v>0</v>
      </c>
      <c r="N54">
        <f t="shared" si="23"/>
        <v>0</v>
      </c>
      <c r="O54">
        <f t="shared" si="23"/>
        <v>0</v>
      </c>
      <c r="P54">
        <f t="shared" si="23"/>
        <v>0</v>
      </c>
      <c r="Q54">
        <f t="shared" si="23"/>
        <v>0</v>
      </c>
      <c r="R54">
        <f t="shared" si="23"/>
        <v>0</v>
      </c>
    </row>
    <row r="55" spans="3:18" x14ac:dyDescent="0.15">
      <c r="C55">
        <f t="shared" ref="C55:R55" si="24">ABS(C25)</f>
        <v>0</v>
      </c>
      <c r="D55">
        <f t="shared" si="24"/>
        <v>0</v>
      </c>
      <c r="E55">
        <f t="shared" si="24"/>
        <v>0</v>
      </c>
      <c r="F55">
        <f t="shared" si="24"/>
        <v>0</v>
      </c>
      <c r="G55">
        <f t="shared" si="24"/>
        <v>0</v>
      </c>
      <c r="H55">
        <f t="shared" si="24"/>
        <v>0</v>
      </c>
      <c r="I55">
        <f t="shared" si="24"/>
        <v>0</v>
      </c>
      <c r="J55">
        <f t="shared" si="24"/>
        <v>0</v>
      </c>
      <c r="K55">
        <f t="shared" si="24"/>
        <v>0</v>
      </c>
      <c r="L55">
        <f t="shared" si="24"/>
        <v>0</v>
      </c>
      <c r="M55">
        <f t="shared" si="24"/>
        <v>0</v>
      </c>
      <c r="N55">
        <f t="shared" si="24"/>
        <v>0</v>
      </c>
      <c r="O55">
        <f t="shared" si="24"/>
        <v>0</v>
      </c>
      <c r="P55">
        <f t="shared" si="24"/>
        <v>0</v>
      </c>
      <c r="Q55">
        <f t="shared" si="24"/>
        <v>0</v>
      </c>
      <c r="R55">
        <f t="shared" si="24"/>
        <v>0</v>
      </c>
    </row>
    <row r="56" spans="3:18" x14ac:dyDescent="0.15">
      <c r="C56">
        <f t="shared" ref="C56:R56" si="25">ABS(C26)</f>
        <v>0</v>
      </c>
      <c r="D56">
        <f t="shared" si="25"/>
        <v>0</v>
      </c>
      <c r="E56">
        <f t="shared" si="25"/>
        <v>0</v>
      </c>
      <c r="F56">
        <f t="shared" si="25"/>
        <v>0</v>
      </c>
      <c r="G56">
        <f t="shared" si="25"/>
        <v>0</v>
      </c>
      <c r="H56">
        <f t="shared" si="25"/>
        <v>0</v>
      </c>
      <c r="I56">
        <f t="shared" si="25"/>
        <v>0</v>
      </c>
      <c r="J56">
        <f t="shared" si="25"/>
        <v>0</v>
      </c>
      <c r="K56">
        <f t="shared" si="25"/>
        <v>0</v>
      </c>
      <c r="L56">
        <f t="shared" si="25"/>
        <v>0</v>
      </c>
      <c r="M56">
        <f t="shared" si="25"/>
        <v>0</v>
      </c>
      <c r="N56">
        <f t="shared" si="25"/>
        <v>0</v>
      </c>
      <c r="O56">
        <f t="shared" si="25"/>
        <v>0</v>
      </c>
      <c r="P56">
        <f t="shared" si="25"/>
        <v>0</v>
      </c>
      <c r="Q56">
        <f t="shared" si="25"/>
        <v>0</v>
      </c>
      <c r="R56">
        <f t="shared" si="25"/>
        <v>0</v>
      </c>
    </row>
    <row r="57" spans="3:18" x14ac:dyDescent="0.15">
      <c r="C57">
        <f t="shared" ref="C57:R57" si="26">ABS(C27)</f>
        <v>0</v>
      </c>
      <c r="D57">
        <f t="shared" si="26"/>
        <v>0</v>
      </c>
      <c r="E57">
        <f t="shared" si="26"/>
        <v>0</v>
      </c>
      <c r="F57">
        <f t="shared" si="26"/>
        <v>0</v>
      </c>
      <c r="G57">
        <f t="shared" si="26"/>
        <v>0</v>
      </c>
      <c r="H57">
        <f t="shared" si="26"/>
        <v>0</v>
      </c>
      <c r="I57">
        <f t="shared" si="26"/>
        <v>0</v>
      </c>
      <c r="J57">
        <f t="shared" si="26"/>
        <v>0</v>
      </c>
      <c r="K57">
        <f t="shared" si="26"/>
        <v>0</v>
      </c>
      <c r="L57">
        <f t="shared" si="26"/>
        <v>0</v>
      </c>
      <c r="M57">
        <f t="shared" si="26"/>
        <v>0</v>
      </c>
      <c r="N57">
        <f t="shared" si="26"/>
        <v>0</v>
      </c>
      <c r="O57">
        <f t="shared" si="26"/>
        <v>0</v>
      </c>
      <c r="P57">
        <f t="shared" si="26"/>
        <v>0</v>
      </c>
      <c r="Q57">
        <f t="shared" si="26"/>
        <v>0</v>
      </c>
      <c r="R57">
        <f t="shared" si="26"/>
        <v>0</v>
      </c>
    </row>
    <row r="58" spans="3:18" x14ac:dyDescent="0.15">
      <c r="C58">
        <f t="shared" ref="C58:R58" si="27">ABS(C28)</f>
        <v>0</v>
      </c>
      <c r="D58">
        <f t="shared" si="27"/>
        <v>0</v>
      </c>
      <c r="E58">
        <f t="shared" si="27"/>
        <v>0</v>
      </c>
      <c r="F58">
        <f t="shared" si="27"/>
        <v>0</v>
      </c>
      <c r="G58">
        <f t="shared" si="27"/>
        <v>0</v>
      </c>
      <c r="H58">
        <f t="shared" si="27"/>
        <v>0</v>
      </c>
      <c r="I58">
        <f t="shared" si="27"/>
        <v>0</v>
      </c>
      <c r="J58">
        <f t="shared" si="27"/>
        <v>0</v>
      </c>
      <c r="K58">
        <f t="shared" si="27"/>
        <v>0</v>
      </c>
      <c r="L58">
        <f t="shared" si="27"/>
        <v>0</v>
      </c>
      <c r="M58">
        <f t="shared" si="27"/>
        <v>0</v>
      </c>
      <c r="N58">
        <f t="shared" si="27"/>
        <v>0</v>
      </c>
      <c r="O58">
        <f t="shared" si="27"/>
        <v>0</v>
      </c>
      <c r="P58">
        <f t="shared" si="27"/>
        <v>0</v>
      </c>
      <c r="Q58">
        <f t="shared" si="27"/>
        <v>0</v>
      </c>
      <c r="R58">
        <f t="shared" si="27"/>
        <v>0</v>
      </c>
    </row>
    <row r="59" spans="3:18" x14ac:dyDescent="0.15">
      <c r="C59">
        <f t="shared" ref="C59:R59" si="28">ABS(C29)</f>
        <v>0</v>
      </c>
      <c r="D59">
        <f t="shared" si="28"/>
        <v>0</v>
      </c>
      <c r="E59">
        <f t="shared" si="28"/>
        <v>0</v>
      </c>
      <c r="F59">
        <f t="shared" si="28"/>
        <v>0</v>
      </c>
      <c r="G59">
        <f t="shared" si="28"/>
        <v>0</v>
      </c>
      <c r="H59">
        <f t="shared" si="28"/>
        <v>0</v>
      </c>
      <c r="I59">
        <f t="shared" si="28"/>
        <v>0</v>
      </c>
      <c r="J59">
        <f t="shared" si="28"/>
        <v>0</v>
      </c>
      <c r="K59">
        <f t="shared" si="28"/>
        <v>0</v>
      </c>
      <c r="L59">
        <f t="shared" si="28"/>
        <v>0</v>
      </c>
      <c r="M59">
        <f t="shared" si="28"/>
        <v>0</v>
      </c>
      <c r="N59">
        <f t="shared" si="28"/>
        <v>0</v>
      </c>
      <c r="O59">
        <f t="shared" si="28"/>
        <v>0</v>
      </c>
      <c r="P59">
        <f t="shared" si="28"/>
        <v>0</v>
      </c>
      <c r="Q59">
        <f t="shared" si="28"/>
        <v>0</v>
      </c>
      <c r="R59">
        <f t="shared" si="28"/>
        <v>0</v>
      </c>
    </row>
    <row r="60" spans="3:18" x14ac:dyDescent="0.15">
      <c r="C60">
        <f t="shared" ref="C60:R60" si="29">ABS(C30)</f>
        <v>0</v>
      </c>
      <c r="D60">
        <f t="shared" si="29"/>
        <v>0</v>
      </c>
      <c r="E60">
        <f t="shared" si="29"/>
        <v>0</v>
      </c>
      <c r="F60">
        <f t="shared" si="29"/>
        <v>0</v>
      </c>
      <c r="G60">
        <f t="shared" si="29"/>
        <v>0</v>
      </c>
      <c r="H60">
        <f t="shared" si="29"/>
        <v>0</v>
      </c>
      <c r="I60">
        <f t="shared" si="29"/>
        <v>0</v>
      </c>
      <c r="J60">
        <f t="shared" si="29"/>
        <v>0</v>
      </c>
      <c r="K60">
        <f t="shared" si="29"/>
        <v>0</v>
      </c>
      <c r="L60">
        <f t="shared" si="29"/>
        <v>0</v>
      </c>
      <c r="M60">
        <f t="shared" si="29"/>
        <v>0</v>
      </c>
      <c r="N60">
        <f t="shared" si="29"/>
        <v>0</v>
      </c>
      <c r="O60">
        <f t="shared" si="29"/>
        <v>0</v>
      </c>
      <c r="P60">
        <f t="shared" si="29"/>
        <v>0</v>
      </c>
      <c r="Q60">
        <f t="shared" si="29"/>
        <v>0</v>
      </c>
      <c r="R60">
        <f t="shared" si="29"/>
        <v>0</v>
      </c>
    </row>
    <row r="61" spans="3:18" x14ac:dyDescent="0.15">
      <c r="C61">
        <f>MAX(C31:C60)</f>
        <v>233.51</v>
      </c>
      <c r="D61">
        <f t="shared" ref="D61:R61" si="30">MAX(D31:D60)</f>
        <v>156.65</v>
      </c>
      <c r="E61">
        <f t="shared" si="30"/>
        <v>997.07</v>
      </c>
      <c r="F61">
        <f t="shared" si="30"/>
        <v>4.2353000000000002E-2</v>
      </c>
      <c r="G61">
        <f t="shared" si="30"/>
        <v>9.5612999999999992</v>
      </c>
      <c r="H61">
        <f t="shared" si="30"/>
        <v>21.605</v>
      </c>
      <c r="I61">
        <f t="shared" si="30"/>
        <v>0</v>
      </c>
      <c r="J61">
        <f t="shared" si="30"/>
        <v>0</v>
      </c>
      <c r="K61">
        <f t="shared" si="30"/>
        <v>0</v>
      </c>
      <c r="L61">
        <f t="shared" si="30"/>
        <v>662</v>
      </c>
      <c r="M61">
        <f t="shared" si="30"/>
        <v>363.34</v>
      </c>
      <c r="N61">
        <f t="shared" si="30"/>
        <v>340.59</v>
      </c>
      <c r="O61">
        <f t="shared" si="30"/>
        <v>1098</v>
      </c>
      <c r="P61">
        <f t="shared" si="30"/>
        <v>9.4778000000000001E-2</v>
      </c>
      <c r="Q61">
        <f t="shared" si="30"/>
        <v>9.8661999999999992</v>
      </c>
      <c r="R61">
        <f t="shared" si="30"/>
        <v>45.115000000000002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7:O46"/>
  <sheetViews>
    <sheetView topLeftCell="A11" workbookViewId="0">
      <selection activeCell="E38" sqref="E38"/>
    </sheetView>
  </sheetViews>
  <sheetFormatPr defaultRowHeight="13.5" x14ac:dyDescent="0.15"/>
  <cols>
    <col min="1" max="1" width="22.75" style="88" customWidth="1"/>
    <col min="2" max="5" width="11.625" style="89" bestFit="1" customWidth="1"/>
    <col min="6" max="6" width="11.625" style="89" customWidth="1"/>
    <col min="7" max="7" width="10.375" style="89" customWidth="1"/>
    <col min="8" max="8" width="10.25" style="88" customWidth="1"/>
    <col min="9" max="11" width="12.75" style="88" bestFit="1" customWidth="1"/>
    <col min="12" max="12" width="10.5" style="88" bestFit="1" customWidth="1"/>
    <col min="13" max="13" width="12.75" style="88" bestFit="1" customWidth="1"/>
    <col min="14" max="14" width="10.5" style="88" bestFit="1" customWidth="1"/>
    <col min="15" max="15" width="13.875" style="88" bestFit="1" customWidth="1"/>
    <col min="16" max="256" width="9" style="88"/>
    <col min="257" max="257" width="22.75" style="88" customWidth="1"/>
    <col min="258" max="261" width="11.625" style="88" bestFit="1" customWidth="1"/>
    <col min="262" max="262" width="11.625" style="88" customWidth="1"/>
    <col min="263" max="263" width="10.375" style="88" customWidth="1"/>
    <col min="264" max="264" width="10.25" style="88" customWidth="1"/>
    <col min="265" max="267" width="12.75" style="88" bestFit="1" customWidth="1"/>
    <col min="268" max="268" width="10.5" style="88" bestFit="1" customWidth="1"/>
    <col min="269" max="269" width="12.75" style="88" bestFit="1" customWidth="1"/>
    <col min="270" max="270" width="10.5" style="88" bestFit="1" customWidth="1"/>
    <col min="271" max="271" width="13.875" style="88" bestFit="1" customWidth="1"/>
    <col min="272" max="512" width="9" style="88"/>
    <col min="513" max="513" width="22.75" style="88" customWidth="1"/>
    <col min="514" max="517" width="11.625" style="88" bestFit="1" customWidth="1"/>
    <col min="518" max="518" width="11.625" style="88" customWidth="1"/>
    <col min="519" max="519" width="10.375" style="88" customWidth="1"/>
    <col min="520" max="520" width="10.25" style="88" customWidth="1"/>
    <col min="521" max="523" width="12.75" style="88" bestFit="1" customWidth="1"/>
    <col min="524" max="524" width="10.5" style="88" bestFit="1" customWidth="1"/>
    <col min="525" max="525" width="12.75" style="88" bestFit="1" customWidth="1"/>
    <col min="526" max="526" width="10.5" style="88" bestFit="1" customWidth="1"/>
    <col min="527" max="527" width="13.875" style="88" bestFit="1" customWidth="1"/>
    <col min="528" max="768" width="9" style="88"/>
    <col min="769" max="769" width="22.75" style="88" customWidth="1"/>
    <col min="770" max="773" width="11.625" style="88" bestFit="1" customWidth="1"/>
    <col min="774" max="774" width="11.625" style="88" customWidth="1"/>
    <col min="775" max="775" width="10.375" style="88" customWidth="1"/>
    <col min="776" max="776" width="10.25" style="88" customWidth="1"/>
    <col min="777" max="779" width="12.75" style="88" bestFit="1" customWidth="1"/>
    <col min="780" max="780" width="10.5" style="88" bestFit="1" customWidth="1"/>
    <col min="781" max="781" width="12.75" style="88" bestFit="1" customWidth="1"/>
    <col min="782" max="782" width="10.5" style="88" bestFit="1" customWidth="1"/>
    <col min="783" max="783" width="13.875" style="88" bestFit="1" customWidth="1"/>
    <col min="784" max="1024" width="9" style="88"/>
    <col min="1025" max="1025" width="22.75" style="88" customWidth="1"/>
    <col min="1026" max="1029" width="11.625" style="88" bestFit="1" customWidth="1"/>
    <col min="1030" max="1030" width="11.625" style="88" customWidth="1"/>
    <col min="1031" max="1031" width="10.375" style="88" customWidth="1"/>
    <col min="1032" max="1032" width="10.25" style="88" customWidth="1"/>
    <col min="1033" max="1035" width="12.75" style="88" bestFit="1" customWidth="1"/>
    <col min="1036" max="1036" width="10.5" style="88" bestFit="1" customWidth="1"/>
    <col min="1037" max="1037" width="12.75" style="88" bestFit="1" customWidth="1"/>
    <col min="1038" max="1038" width="10.5" style="88" bestFit="1" customWidth="1"/>
    <col min="1039" max="1039" width="13.875" style="88" bestFit="1" customWidth="1"/>
    <col min="1040" max="1280" width="9" style="88"/>
    <col min="1281" max="1281" width="22.75" style="88" customWidth="1"/>
    <col min="1282" max="1285" width="11.625" style="88" bestFit="1" customWidth="1"/>
    <col min="1286" max="1286" width="11.625" style="88" customWidth="1"/>
    <col min="1287" max="1287" width="10.375" style="88" customWidth="1"/>
    <col min="1288" max="1288" width="10.25" style="88" customWidth="1"/>
    <col min="1289" max="1291" width="12.75" style="88" bestFit="1" customWidth="1"/>
    <col min="1292" max="1292" width="10.5" style="88" bestFit="1" customWidth="1"/>
    <col min="1293" max="1293" width="12.75" style="88" bestFit="1" customWidth="1"/>
    <col min="1294" max="1294" width="10.5" style="88" bestFit="1" customWidth="1"/>
    <col min="1295" max="1295" width="13.875" style="88" bestFit="1" customWidth="1"/>
    <col min="1296" max="1536" width="9" style="88"/>
    <col min="1537" max="1537" width="22.75" style="88" customWidth="1"/>
    <col min="1538" max="1541" width="11.625" style="88" bestFit="1" customWidth="1"/>
    <col min="1542" max="1542" width="11.625" style="88" customWidth="1"/>
    <col min="1543" max="1543" width="10.375" style="88" customWidth="1"/>
    <col min="1544" max="1544" width="10.25" style="88" customWidth="1"/>
    <col min="1545" max="1547" width="12.75" style="88" bestFit="1" customWidth="1"/>
    <col min="1548" max="1548" width="10.5" style="88" bestFit="1" customWidth="1"/>
    <col min="1549" max="1549" width="12.75" style="88" bestFit="1" customWidth="1"/>
    <col min="1550" max="1550" width="10.5" style="88" bestFit="1" customWidth="1"/>
    <col min="1551" max="1551" width="13.875" style="88" bestFit="1" customWidth="1"/>
    <col min="1552" max="1792" width="9" style="88"/>
    <col min="1793" max="1793" width="22.75" style="88" customWidth="1"/>
    <col min="1794" max="1797" width="11.625" style="88" bestFit="1" customWidth="1"/>
    <col min="1798" max="1798" width="11.625" style="88" customWidth="1"/>
    <col min="1799" max="1799" width="10.375" style="88" customWidth="1"/>
    <col min="1800" max="1800" width="10.25" style="88" customWidth="1"/>
    <col min="1801" max="1803" width="12.75" style="88" bestFit="1" customWidth="1"/>
    <col min="1804" max="1804" width="10.5" style="88" bestFit="1" customWidth="1"/>
    <col min="1805" max="1805" width="12.75" style="88" bestFit="1" customWidth="1"/>
    <col min="1806" max="1806" width="10.5" style="88" bestFit="1" customWidth="1"/>
    <col min="1807" max="1807" width="13.875" style="88" bestFit="1" customWidth="1"/>
    <col min="1808" max="2048" width="9" style="88"/>
    <col min="2049" max="2049" width="22.75" style="88" customWidth="1"/>
    <col min="2050" max="2053" width="11.625" style="88" bestFit="1" customWidth="1"/>
    <col min="2054" max="2054" width="11.625" style="88" customWidth="1"/>
    <col min="2055" max="2055" width="10.375" style="88" customWidth="1"/>
    <col min="2056" max="2056" width="10.25" style="88" customWidth="1"/>
    <col min="2057" max="2059" width="12.75" style="88" bestFit="1" customWidth="1"/>
    <col min="2060" max="2060" width="10.5" style="88" bestFit="1" customWidth="1"/>
    <col min="2061" max="2061" width="12.75" style="88" bestFit="1" customWidth="1"/>
    <col min="2062" max="2062" width="10.5" style="88" bestFit="1" customWidth="1"/>
    <col min="2063" max="2063" width="13.875" style="88" bestFit="1" customWidth="1"/>
    <col min="2064" max="2304" width="9" style="88"/>
    <col min="2305" max="2305" width="22.75" style="88" customWidth="1"/>
    <col min="2306" max="2309" width="11.625" style="88" bestFit="1" customWidth="1"/>
    <col min="2310" max="2310" width="11.625" style="88" customWidth="1"/>
    <col min="2311" max="2311" width="10.375" style="88" customWidth="1"/>
    <col min="2312" max="2312" width="10.25" style="88" customWidth="1"/>
    <col min="2313" max="2315" width="12.75" style="88" bestFit="1" customWidth="1"/>
    <col min="2316" max="2316" width="10.5" style="88" bestFit="1" customWidth="1"/>
    <col min="2317" max="2317" width="12.75" style="88" bestFit="1" customWidth="1"/>
    <col min="2318" max="2318" width="10.5" style="88" bestFit="1" customWidth="1"/>
    <col min="2319" max="2319" width="13.875" style="88" bestFit="1" customWidth="1"/>
    <col min="2320" max="2560" width="9" style="88"/>
    <col min="2561" max="2561" width="22.75" style="88" customWidth="1"/>
    <col min="2562" max="2565" width="11.625" style="88" bestFit="1" customWidth="1"/>
    <col min="2566" max="2566" width="11.625" style="88" customWidth="1"/>
    <col min="2567" max="2567" width="10.375" style="88" customWidth="1"/>
    <col min="2568" max="2568" width="10.25" style="88" customWidth="1"/>
    <col min="2569" max="2571" width="12.75" style="88" bestFit="1" customWidth="1"/>
    <col min="2572" max="2572" width="10.5" style="88" bestFit="1" customWidth="1"/>
    <col min="2573" max="2573" width="12.75" style="88" bestFit="1" customWidth="1"/>
    <col min="2574" max="2574" width="10.5" style="88" bestFit="1" customWidth="1"/>
    <col min="2575" max="2575" width="13.875" style="88" bestFit="1" customWidth="1"/>
    <col min="2576" max="2816" width="9" style="88"/>
    <col min="2817" max="2817" width="22.75" style="88" customWidth="1"/>
    <col min="2818" max="2821" width="11.625" style="88" bestFit="1" customWidth="1"/>
    <col min="2822" max="2822" width="11.625" style="88" customWidth="1"/>
    <col min="2823" max="2823" width="10.375" style="88" customWidth="1"/>
    <col min="2824" max="2824" width="10.25" style="88" customWidth="1"/>
    <col min="2825" max="2827" width="12.75" style="88" bestFit="1" customWidth="1"/>
    <col min="2828" max="2828" width="10.5" style="88" bestFit="1" customWidth="1"/>
    <col min="2829" max="2829" width="12.75" style="88" bestFit="1" customWidth="1"/>
    <col min="2830" max="2830" width="10.5" style="88" bestFit="1" customWidth="1"/>
    <col min="2831" max="2831" width="13.875" style="88" bestFit="1" customWidth="1"/>
    <col min="2832" max="3072" width="9" style="88"/>
    <col min="3073" max="3073" width="22.75" style="88" customWidth="1"/>
    <col min="3074" max="3077" width="11.625" style="88" bestFit="1" customWidth="1"/>
    <col min="3078" max="3078" width="11.625" style="88" customWidth="1"/>
    <col min="3079" max="3079" width="10.375" style="88" customWidth="1"/>
    <col min="3080" max="3080" width="10.25" style="88" customWidth="1"/>
    <col min="3081" max="3083" width="12.75" style="88" bestFit="1" customWidth="1"/>
    <col min="3084" max="3084" width="10.5" style="88" bestFit="1" customWidth="1"/>
    <col min="3085" max="3085" width="12.75" style="88" bestFit="1" customWidth="1"/>
    <col min="3086" max="3086" width="10.5" style="88" bestFit="1" customWidth="1"/>
    <col min="3087" max="3087" width="13.875" style="88" bestFit="1" customWidth="1"/>
    <col min="3088" max="3328" width="9" style="88"/>
    <col min="3329" max="3329" width="22.75" style="88" customWidth="1"/>
    <col min="3330" max="3333" width="11.625" style="88" bestFit="1" customWidth="1"/>
    <col min="3334" max="3334" width="11.625" style="88" customWidth="1"/>
    <col min="3335" max="3335" width="10.375" style="88" customWidth="1"/>
    <col min="3336" max="3336" width="10.25" style="88" customWidth="1"/>
    <col min="3337" max="3339" width="12.75" style="88" bestFit="1" customWidth="1"/>
    <col min="3340" max="3340" width="10.5" style="88" bestFit="1" customWidth="1"/>
    <col min="3341" max="3341" width="12.75" style="88" bestFit="1" customWidth="1"/>
    <col min="3342" max="3342" width="10.5" style="88" bestFit="1" customWidth="1"/>
    <col min="3343" max="3343" width="13.875" style="88" bestFit="1" customWidth="1"/>
    <col min="3344" max="3584" width="9" style="88"/>
    <col min="3585" max="3585" width="22.75" style="88" customWidth="1"/>
    <col min="3586" max="3589" width="11.625" style="88" bestFit="1" customWidth="1"/>
    <col min="3590" max="3590" width="11.625" style="88" customWidth="1"/>
    <col min="3591" max="3591" width="10.375" style="88" customWidth="1"/>
    <col min="3592" max="3592" width="10.25" style="88" customWidth="1"/>
    <col min="3593" max="3595" width="12.75" style="88" bestFit="1" customWidth="1"/>
    <col min="3596" max="3596" width="10.5" style="88" bestFit="1" customWidth="1"/>
    <col min="3597" max="3597" width="12.75" style="88" bestFit="1" customWidth="1"/>
    <col min="3598" max="3598" width="10.5" style="88" bestFit="1" customWidth="1"/>
    <col min="3599" max="3599" width="13.875" style="88" bestFit="1" customWidth="1"/>
    <col min="3600" max="3840" width="9" style="88"/>
    <col min="3841" max="3841" width="22.75" style="88" customWidth="1"/>
    <col min="3842" max="3845" width="11.625" style="88" bestFit="1" customWidth="1"/>
    <col min="3846" max="3846" width="11.625" style="88" customWidth="1"/>
    <col min="3847" max="3847" width="10.375" style="88" customWidth="1"/>
    <col min="3848" max="3848" width="10.25" style="88" customWidth="1"/>
    <col min="3849" max="3851" width="12.75" style="88" bestFit="1" customWidth="1"/>
    <col min="3852" max="3852" width="10.5" style="88" bestFit="1" customWidth="1"/>
    <col min="3853" max="3853" width="12.75" style="88" bestFit="1" customWidth="1"/>
    <col min="3854" max="3854" width="10.5" style="88" bestFit="1" customWidth="1"/>
    <col min="3855" max="3855" width="13.875" style="88" bestFit="1" customWidth="1"/>
    <col min="3856" max="4096" width="9" style="88"/>
    <col min="4097" max="4097" width="22.75" style="88" customWidth="1"/>
    <col min="4098" max="4101" width="11.625" style="88" bestFit="1" customWidth="1"/>
    <col min="4102" max="4102" width="11.625" style="88" customWidth="1"/>
    <col min="4103" max="4103" width="10.375" style="88" customWidth="1"/>
    <col min="4104" max="4104" width="10.25" style="88" customWidth="1"/>
    <col min="4105" max="4107" width="12.75" style="88" bestFit="1" customWidth="1"/>
    <col min="4108" max="4108" width="10.5" style="88" bestFit="1" customWidth="1"/>
    <col min="4109" max="4109" width="12.75" style="88" bestFit="1" customWidth="1"/>
    <col min="4110" max="4110" width="10.5" style="88" bestFit="1" customWidth="1"/>
    <col min="4111" max="4111" width="13.875" style="88" bestFit="1" customWidth="1"/>
    <col min="4112" max="4352" width="9" style="88"/>
    <col min="4353" max="4353" width="22.75" style="88" customWidth="1"/>
    <col min="4354" max="4357" width="11.625" style="88" bestFit="1" customWidth="1"/>
    <col min="4358" max="4358" width="11.625" style="88" customWidth="1"/>
    <col min="4359" max="4359" width="10.375" style="88" customWidth="1"/>
    <col min="4360" max="4360" width="10.25" style="88" customWidth="1"/>
    <col min="4361" max="4363" width="12.75" style="88" bestFit="1" customWidth="1"/>
    <col min="4364" max="4364" width="10.5" style="88" bestFit="1" customWidth="1"/>
    <col min="4365" max="4365" width="12.75" style="88" bestFit="1" customWidth="1"/>
    <col min="4366" max="4366" width="10.5" style="88" bestFit="1" customWidth="1"/>
    <col min="4367" max="4367" width="13.875" style="88" bestFit="1" customWidth="1"/>
    <col min="4368" max="4608" width="9" style="88"/>
    <col min="4609" max="4609" width="22.75" style="88" customWidth="1"/>
    <col min="4610" max="4613" width="11.625" style="88" bestFit="1" customWidth="1"/>
    <col min="4614" max="4614" width="11.625" style="88" customWidth="1"/>
    <col min="4615" max="4615" width="10.375" style="88" customWidth="1"/>
    <col min="4616" max="4616" width="10.25" style="88" customWidth="1"/>
    <col min="4617" max="4619" width="12.75" style="88" bestFit="1" customWidth="1"/>
    <col min="4620" max="4620" width="10.5" style="88" bestFit="1" customWidth="1"/>
    <col min="4621" max="4621" width="12.75" style="88" bestFit="1" customWidth="1"/>
    <col min="4622" max="4622" width="10.5" style="88" bestFit="1" customWidth="1"/>
    <col min="4623" max="4623" width="13.875" style="88" bestFit="1" customWidth="1"/>
    <col min="4624" max="4864" width="9" style="88"/>
    <col min="4865" max="4865" width="22.75" style="88" customWidth="1"/>
    <col min="4866" max="4869" width="11.625" style="88" bestFit="1" customWidth="1"/>
    <col min="4870" max="4870" width="11.625" style="88" customWidth="1"/>
    <col min="4871" max="4871" width="10.375" style="88" customWidth="1"/>
    <col min="4872" max="4872" width="10.25" style="88" customWidth="1"/>
    <col min="4873" max="4875" width="12.75" style="88" bestFit="1" customWidth="1"/>
    <col min="4876" max="4876" width="10.5" style="88" bestFit="1" customWidth="1"/>
    <col min="4877" max="4877" width="12.75" style="88" bestFit="1" customWidth="1"/>
    <col min="4878" max="4878" width="10.5" style="88" bestFit="1" customWidth="1"/>
    <col min="4879" max="4879" width="13.875" style="88" bestFit="1" customWidth="1"/>
    <col min="4880" max="5120" width="9" style="88"/>
    <col min="5121" max="5121" width="22.75" style="88" customWidth="1"/>
    <col min="5122" max="5125" width="11.625" style="88" bestFit="1" customWidth="1"/>
    <col min="5126" max="5126" width="11.625" style="88" customWidth="1"/>
    <col min="5127" max="5127" width="10.375" style="88" customWidth="1"/>
    <col min="5128" max="5128" width="10.25" style="88" customWidth="1"/>
    <col min="5129" max="5131" width="12.75" style="88" bestFit="1" customWidth="1"/>
    <col min="5132" max="5132" width="10.5" style="88" bestFit="1" customWidth="1"/>
    <col min="5133" max="5133" width="12.75" style="88" bestFit="1" customWidth="1"/>
    <col min="5134" max="5134" width="10.5" style="88" bestFit="1" customWidth="1"/>
    <col min="5135" max="5135" width="13.875" style="88" bestFit="1" customWidth="1"/>
    <col min="5136" max="5376" width="9" style="88"/>
    <col min="5377" max="5377" width="22.75" style="88" customWidth="1"/>
    <col min="5378" max="5381" width="11.625" style="88" bestFit="1" customWidth="1"/>
    <col min="5382" max="5382" width="11.625" style="88" customWidth="1"/>
    <col min="5383" max="5383" width="10.375" style="88" customWidth="1"/>
    <col min="5384" max="5384" width="10.25" style="88" customWidth="1"/>
    <col min="5385" max="5387" width="12.75" style="88" bestFit="1" customWidth="1"/>
    <col min="5388" max="5388" width="10.5" style="88" bestFit="1" customWidth="1"/>
    <col min="5389" max="5389" width="12.75" style="88" bestFit="1" customWidth="1"/>
    <col min="5390" max="5390" width="10.5" style="88" bestFit="1" customWidth="1"/>
    <col min="5391" max="5391" width="13.875" style="88" bestFit="1" customWidth="1"/>
    <col min="5392" max="5632" width="9" style="88"/>
    <col min="5633" max="5633" width="22.75" style="88" customWidth="1"/>
    <col min="5634" max="5637" width="11.625" style="88" bestFit="1" customWidth="1"/>
    <col min="5638" max="5638" width="11.625" style="88" customWidth="1"/>
    <col min="5639" max="5639" width="10.375" style="88" customWidth="1"/>
    <col min="5640" max="5640" width="10.25" style="88" customWidth="1"/>
    <col min="5641" max="5643" width="12.75" style="88" bestFit="1" customWidth="1"/>
    <col min="5644" max="5644" width="10.5" style="88" bestFit="1" customWidth="1"/>
    <col min="5645" max="5645" width="12.75" style="88" bestFit="1" customWidth="1"/>
    <col min="5646" max="5646" width="10.5" style="88" bestFit="1" customWidth="1"/>
    <col min="5647" max="5647" width="13.875" style="88" bestFit="1" customWidth="1"/>
    <col min="5648" max="5888" width="9" style="88"/>
    <col min="5889" max="5889" width="22.75" style="88" customWidth="1"/>
    <col min="5890" max="5893" width="11.625" style="88" bestFit="1" customWidth="1"/>
    <col min="5894" max="5894" width="11.625" style="88" customWidth="1"/>
    <col min="5895" max="5895" width="10.375" style="88" customWidth="1"/>
    <col min="5896" max="5896" width="10.25" style="88" customWidth="1"/>
    <col min="5897" max="5899" width="12.75" style="88" bestFit="1" customWidth="1"/>
    <col min="5900" max="5900" width="10.5" style="88" bestFit="1" customWidth="1"/>
    <col min="5901" max="5901" width="12.75" style="88" bestFit="1" customWidth="1"/>
    <col min="5902" max="5902" width="10.5" style="88" bestFit="1" customWidth="1"/>
    <col min="5903" max="5903" width="13.875" style="88" bestFit="1" customWidth="1"/>
    <col min="5904" max="6144" width="9" style="88"/>
    <col min="6145" max="6145" width="22.75" style="88" customWidth="1"/>
    <col min="6146" max="6149" width="11.625" style="88" bestFit="1" customWidth="1"/>
    <col min="6150" max="6150" width="11.625" style="88" customWidth="1"/>
    <col min="6151" max="6151" width="10.375" style="88" customWidth="1"/>
    <col min="6152" max="6152" width="10.25" style="88" customWidth="1"/>
    <col min="6153" max="6155" width="12.75" style="88" bestFit="1" customWidth="1"/>
    <col min="6156" max="6156" width="10.5" style="88" bestFit="1" customWidth="1"/>
    <col min="6157" max="6157" width="12.75" style="88" bestFit="1" customWidth="1"/>
    <col min="6158" max="6158" width="10.5" style="88" bestFit="1" customWidth="1"/>
    <col min="6159" max="6159" width="13.875" style="88" bestFit="1" customWidth="1"/>
    <col min="6160" max="6400" width="9" style="88"/>
    <col min="6401" max="6401" width="22.75" style="88" customWidth="1"/>
    <col min="6402" max="6405" width="11.625" style="88" bestFit="1" customWidth="1"/>
    <col min="6406" max="6406" width="11.625" style="88" customWidth="1"/>
    <col min="6407" max="6407" width="10.375" style="88" customWidth="1"/>
    <col min="6408" max="6408" width="10.25" style="88" customWidth="1"/>
    <col min="6409" max="6411" width="12.75" style="88" bestFit="1" customWidth="1"/>
    <col min="6412" max="6412" width="10.5" style="88" bestFit="1" customWidth="1"/>
    <col min="6413" max="6413" width="12.75" style="88" bestFit="1" customWidth="1"/>
    <col min="6414" max="6414" width="10.5" style="88" bestFit="1" customWidth="1"/>
    <col min="6415" max="6415" width="13.875" style="88" bestFit="1" customWidth="1"/>
    <col min="6416" max="6656" width="9" style="88"/>
    <col min="6657" max="6657" width="22.75" style="88" customWidth="1"/>
    <col min="6658" max="6661" width="11.625" style="88" bestFit="1" customWidth="1"/>
    <col min="6662" max="6662" width="11.625" style="88" customWidth="1"/>
    <col min="6663" max="6663" width="10.375" style="88" customWidth="1"/>
    <col min="6664" max="6664" width="10.25" style="88" customWidth="1"/>
    <col min="6665" max="6667" width="12.75" style="88" bestFit="1" customWidth="1"/>
    <col min="6668" max="6668" width="10.5" style="88" bestFit="1" customWidth="1"/>
    <col min="6669" max="6669" width="12.75" style="88" bestFit="1" customWidth="1"/>
    <col min="6670" max="6670" width="10.5" style="88" bestFit="1" customWidth="1"/>
    <col min="6671" max="6671" width="13.875" style="88" bestFit="1" customWidth="1"/>
    <col min="6672" max="6912" width="9" style="88"/>
    <col min="6913" max="6913" width="22.75" style="88" customWidth="1"/>
    <col min="6914" max="6917" width="11.625" style="88" bestFit="1" customWidth="1"/>
    <col min="6918" max="6918" width="11.625" style="88" customWidth="1"/>
    <col min="6919" max="6919" width="10.375" style="88" customWidth="1"/>
    <col min="6920" max="6920" width="10.25" style="88" customWidth="1"/>
    <col min="6921" max="6923" width="12.75" style="88" bestFit="1" customWidth="1"/>
    <col min="6924" max="6924" width="10.5" style="88" bestFit="1" customWidth="1"/>
    <col min="6925" max="6925" width="12.75" style="88" bestFit="1" customWidth="1"/>
    <col min="6926" max="6926" width="10.5" style="88" bestFit="1" customWidth="1"/>
    <col min="6927" max="6927" width="13.875" style="88" bestFit="1" customWidth="1"/>
    <col min="6928" max="7168" width="9" style="88"/>
    <col min="7169" max="7169" width="22.75" style="88" customWidth="1"/>
    <col min="7170" max="7173" width="11.625" style="88" bestFit="1" customWidth="1"/>
    <col min="7174" max="7174" width="11.625" style="88" customWidth="1"/>
    <col min="7175" max="7175" width="10.375" style="88" customWidth="1"/>
    <col min="7176" max="7176" width="10.25" style="88" customWidth="1"/>
    <col min="7177" max="7179" width="12.75" style="88" bestFit="1" customWidth="1"/>
    <col min="7180" max="7180" width="10.5" style="88" bestFit="1" customWidth="1"/>
    <col min="7181" max="7181" width="12.75" style="88" bestFit="1" customWidth="1"/>
    <col min="7182" max="7182" width="10.5" style="88" bestFit="1" customWidth="1"/>
    <col min="7183" max="7183" width="13.875" style="88" bestFit="1" customWidth="1"/>
    <col min="7184" max="7424" width="9" style="88"/>
    <col min="7425" max="7425" width="22.75" style="88" customWidth="1"/>
    <col min="7426" max="7429" width="11.625" style="88" bestFit="1" customWidth="1"/>
    <col min="7430" max="7430" width="11.625" style="88" customWidth="1"/>
    <col min="7431" max="7431" width="10.375" style="88" customWidth="1"/>
    <col min="7432" max="7432" width="10.25" style="88" customWidth="1"/>
    <col min="7433" max="7435" width="12.75" style="88" bestFit="1" customWidth="1"/>
    <col min="7436" max="7436" width="10.5" style="88" bestFit="1" customWidth="1"/>
    <col min="7437" max="7437" width="12.75" style="88" bestFit="1" customWidth="1"/>
    <col min="7438" max="7438" width="10.5" style="88" bestFit="1" customWidth="1"/>
    <col min="7439" max="7439" width="13.875" style="88" bestFit="1" customWidth="1"/>
    <col min="7440" max="7680" width="9" style="88"/>
    <col min="7681" max="7681" width="22.75" style="88" customWidth="1"/>
    <col min="7682" max="7685" width="11.625" style="88" bestFit="1" customWidth="1"/>
    <col min="7686" max="7686" width="11.625" style="88" customWidth="1"/>
    <col min="7687" max="7687" width="10.375" style="88" customWidth="1"/>
    <col min="7688" max="7688" width="10.25" style="88" customWidth="1"/>
    <col min="7689" max="7691" width="12.75" style="88" bestFit="1" customWidth="1"/>
    <col min="7692" max="7692" width="10.5" style="88" bestFit="1" customWidth="1"/>
    <col min="7693" max="7693" width="12.75" style="88" bestFit="1" customWidth="1"/>
    <col min="7694" max="7694" width="10.5" style="88" bestFit="1" customWidth="1"/>
    <col min="7695" max="7695" width="13.875" style="88" bestFit="1" customWidth="1"/>
    <col min="7696" max="7936" width="9" style="88"/>
    <col min="7937" max="7937" width="22.75" style="88" customWidth="1"/>
    <col min="7938" max="7941" width="11.625" style="88" bestFit="1" customWidth="1"/>
    <col min="7942" max="7942" width="11.625" style="88" customWidth="1"/>
    <col min="7943" max="7943" width="10.375" style="88" customWidth="1"/>
    <col min="7944" max="7944" width="10.25" style="88" customWidth="1"/>
    <col min="7945" max="7947" width="12.75" style="88" bestFit="1" customWidth="1"/>
    <col min="7948" max="7948" width="10.5" style="88" bestFit="1" customWidth="1"/>
    <col min="7949" max="7949" width="12.75" style="88" bestFit="1" customWidth="1"/>
    <col min="7950" max="7950" width="10.5" style="88" bestFit="1" customWidth="1"/>
    <col min="7951" max="7951" width="13.875" style="88" bestFit="1" customWidth="1"/>
    <col min="7952" max="8192" width="9" style="88"/>
    <col min="8193" max="8193" width="22.75" style="88" customWidth="1"/>
    <col min="8194" max="8197" width="11.625" style="88" bestFit="1" customWidth="1"/>
    <col min="8198" max="8198" width="11.625" style="88" customWidth="1"/>
    <col min="8199" max="8199" width="10.375" style="88" customWidth="1"/>
    <col min="8200" max="8200" width="10.25" style="88" customWidth="1"/>
    <col min="8201" max="8203" width="12.75" style="88" bestFit="1" customWidth="1"/>
    <col min="8204" max="8204" width="10.5" style="88" bestFit="1" customWidth="1"/>
    <col min="8205" max="8205" width="12.75" style="88" bestFit="1" customWidth="1"/>
    <col min="8206" max="8206" width="10.5" style="88" bestFit="1" customWidth="1"/>
    <col min="8207" max="8207" width="13.875" style="88" bestFit="1" customWidth="1"/>
    <col min="8208" max="8448" width="9" style="88"/>
    <col min="8449" max="8449" width="22.75" style="88" customWidth="1"/>
    <col min="8450" max="8453" width="11.625" style="88" bestFit="1" customWidth="1"/>
    <col min="8454" max="8454" width="11.625" style="88" customWidth="1"/>
    <col min="8455" max="8455" width="10.375" style="88" customWidth="1"/>
    <col min="8456" max="8456" width="10.25" style="88" customWidth="1"/>
    <col min="8457" max="8459" width="12.75" style="88" bestFit="1" customWidth="1"/>
    <col min="8460" max="8460" width="10.5" style="88" bestFit="1" customWidth="1"/>
    <col min="8461" max="8461" width="12.75" style="88" bestFit="1" customWidth="1"/>
    <col min="8462" max="8462" width="10.5" style="88" bestFit="1" customWidth="1"/>
    <col min="8463" max="8463" width="13.875" style="88" bestFit="1" customWidth="1"/>
    <col min="8464" max="8704" width="9" style="88"/>
    <col min="8705" max="8705" width="22.75" style="88" customWidth="1"/>
    <col min="8706" max="8709" width="11.625" style="88" bestFit="1" customWidth="1"/>
    <col min="8710" max="8710" width="11.625" style="88" customWidth="1"/>
    <col min="8711" max="8711" width="10.375" style="88" customWidth="1"/>
    <col min="8712" max="8712" width="10.25" style="88" customWidth="1"/>
    <col min="8713" max="8715" width="12.75" style="88" bestFit="1" customWidth="1"/>
    <col min="8716" max="8716" width="10.5" style="88" bestFit="1" customWidth="1"/>
    <col min="8717" max="8717" width="12.75" style="88" bestFit="1" customWidth="1"/>
    <col min="8718" max="8718" width="10.5" style="88" bestFit="1" customWidth="1"/>
    <col min="8719" max="8719" width="13.875" style="88" bestFit="1" customWidth="1"/>
    <col min="8720" max="8960" width="9" style="88"/>
    <col min="8961" max="8961" width="22.75" style="88" customWidth="1"/>
    <col min="8962" max="8965" width="11.625" style="88" bestFit="1" customWidth="1"/>
    <col min="8966" max="8966" width="11.625" style="88" customWidth="1"/>
    <col min="8967" max="8967" width="10.375" style="88" customWidth="1"/>
    <col min="8968" max="8968" width="10.25" style="88" customWidth="1"/>
    <col min="8969" max="8971" width="12.75" style="88" bestFit="1" customWidth="1"/>
    <col min="8972" max="8972" width="10.5" style="88" bestFit="1" customWidth="1"/>
    <col min="8973" max="8973" width="12.75" style="88" bestFit="1" customWidth="1"/>
    <col min="8974" max="8974" width="10.5" style="88" bestFit="1" customWidth="1"/>
    <col min="8975" max="8975" width="13.875" style="88" bestFit="1" customWidth="1"/>
    <col min="8976" max="9216" width="9" style="88"/>
    <col min="9217" max="9217" width="22.75" style="88" customWidth="1"/>
    <col min="9218" max="9221" width="11.625" style="88" bestFit="1" customWidth="1"/>
    <col min="9222" max="9222" width="11.625" style="88" customWidth="1"/>
    <col min="9223" max="9223" width="10.375" style="88" customWidth="1"/>
    <col min="9224" max="9224" width="10.25" style="88" customWidth="1"/>
    <col min="9225" max="9227" width="12.75" style="88" bestFit="1" customWidth="1"/>
    <col min="9228" max="9228" width="10.5" style="88" bestFit="1" customWidth="1"/>
    <col min="9229" max="9229" width="12.75" style="88" bestFit="1" customWidth="1"/>
    <col min="9230" max="9230" width="10.5" style="88" bestFit="1" customWidth="1"/>
    <col min="9231" max="9231" width="13.875" style="88" bestFit="1" customWidth="1"/>
    <col min="9232" max="9472" width="9" style="88"/>
    <col min="9473" max="9473" width="22.75" style="88" customWidth="1"/>
    <col min="9474" max="9477" width="11.625" style="88" bestFit="1" customWidth="1"/>
    <col min="9478" max="9478" width="11.625" style="88" customWidth="1"/>
    <col min="9479" max="9479" width="10.375" style="88" customWidth="1"/>
    <col min="9480" max="9480" width="10.25" style="88" customWidth="1"/>
    <col min="9481" max="9483" width="12.75" style="88" bestFit="1" customWidth="1"/>
    <col min="9484" max="9484" width="10.5" style="88" bestFit="1" customWidth="1"/>
    <col min="9485" max="9485" width="12.75" style="88" bestFit="1" customWidth="1"/>
    <col min="9486" max="9486" width="10.5" style="88" bestFit="1" customWidth="1"/>
    <col min="9487" max="9487" width="13.875" style="88" bestFit="1" customWidth="1"/>
    <col min="9488" max="9728" width="9" style="88"/>
    <col min="9729" max="9729" width="22.75" style="88" customWidth="1"/>
    <col min="9730" max="9733" width="11.625" style="88" bestFit="1" customWidth="1"/>
    <col min="9734" max="9734" width="11.625" style="88" customWidth="1"/>
    <col min="9735" max="9735" width="10.375" style="88" customWidth="1"/>
    <col min="9736" max="9736" width="10.25" style="88" customWidth="1"/>
    <col min="9737" max="9739" width="12.75" style="88" bestFit="1" customWidth="1"/>
    <col min="9740" max="9740" width="10.5" style="88" bestFit="1" customWidth="1"/>
    <col min="9741" max="9741" width="12.75" style="88" bestFit="1" customWidth="1"/>
    <col min="9742" max="9742" width="10.5" style="88" bestFit="1" customWidth="1"/>
    <col min="9743" max="9743" width="13.875" style="88" bestFit="1" customWidth="1"/>
    <col min="9744" max="9984" width="9" style="88"/>
    <col min="9985" max="9985" width="22.75" style="88" customWidth="1"/>
    <col min="9986" max="9989" width="11.625" style="88" bestFit="1" customWidth="1"/>
    <col min="9990" max="9990" width="11.625" style="88" customWidth="1"/>
    <col min="9991" max="9991" width="10.375" style="88" customWidth="1"/>
    <col min="9992" max="9992" width="10.25" style="88" customWidth="1"/>
    <col min="9993" max="9995" width="12.75" style="88" bestFit="1" customWidth="1"/>
    <col min="9996" max="9996" width="10.5" style="88" bestFit="1" customWidth="1"/>
    <col min="9997" max="9997" width="12.75" style="88" bestFit="1" customWidth="1"/>
    <col min="9998" max="9998" width="10.5" style="88" bestFit="1" customWidth="1"/>
    <col min="9999" max="9999" width="13.875" style="88" bestFit="1" customWidth="1"/>
    <col min="10000" max="10240" width="9" style="88"/>
    <col min="10241" max="10241" width="22.75" style="88" customWidth="1"/>
    <col min="10242" max="10245" width="11.625" style="88" bestFit="1" customWidth="1"/>
    <col min="10246" max="10246" width="11.625" style="88" customWidth="1"/>
    <col min="10247" max="10247" width="10.375" style="88" customWidth="1"/>
    <col min="10248" max="10248" width="10.25" style="88" customWidth="1"/>
    <col min="10249" max="10251" width="12.75" style="88" bestFit="1" customWidth="1"/>
    <col min="10252" max="10252" width="10.5" style="88" bestFit="1" customWidth="1"/>
    <col min="10253" max="10253" width="12.75" style="88" bestFit="1" customWidth="1"/>
    <col min="10254" max="10254" width="10.5" style="88" bestFit="1" customWidth="1"/>
    <col min="10255" max="10255" width="13.875" style="88" bestFit="1" customWidth="1"/>
    <col min="10256" max="10496" width="9" style="88"/>
    <col min="10497" max="10497" width="22.75" style="88" customWidth="1"/>
    <col min="10498" max="10501" width="11.625" style="88" bestFit="1" customWidth="1"/>
    <col min="10502" max="10502" width="11.625" style="88" customWidth="1"/>
    <col min="10503" max="10503" width="10.375" style="88" customWidth="1"/>
    <col min="10504" max="10504" width="10.25" style="88" customWidth="1"/>
    <col min="10505" max="10507" width="12.75" style="88" bestFit="1" customWidth="1"/>
    <col min="10508" max="10508" width="10.5" style="88" bestFit="1" customWidth="1"/>
    <col min="10509" max="10509" width="12.75" style="88" bestFit="1" customWidth="1"/>
    <col min="10510" max="10510" width="10.5" style="88" bestFit="1" customWidth="1"/>
    <col min="10511" max="10511" width="13.875" style="88" bestFit="1" customWidth="1"/>
    <col min="10512" max="10752" width="9" style="88"/>
    <col min="10753" max="10753" width="22.75" style="88" customWidth="1"/>
    <col min="10754" max="10757" width="11.625" style="88" bestFit="1" customWidth="1"/>
    <col min="10758" max="10758" width="11.625" style="88" customWidth="1"/>
    <col min="10759" max="10759" width="10.375" style="88" customWidth="1"/>
    <col min="10760" max="10760" width="10.25" style="88" customWidth="1"/>
    <col min="10761" max="10763" width="12.75" style="88" bestFit="1" customWidth="1"/>
    <col min="10764" max="10764" width="10.5" style="88" bestFit="1" customWidth="1"/>
    <col min="10765" max="10765" width="12.75" style="88" bestFit="1" customWidth="1"/>
    <col min="10766" max="10766" width="10.5" style="88" bestFit="1" customWidth="1"/>
    <col min="10767" max="10767" width="13.875" style="88" bestFit="1" customWidth="1"/>
    <col min="10768" max="11008" width="9" style="88"/>
    <col min="11009" max="11009" width="22.75" style="88" customWidth="1"/>
    <col min="11010" max="11013" width="11.625" style="88" bestFit="1" customWidth="1"/>
    <col min="11014" max="11014" width="11.625" style="88" customWidth="1"/>
    <col min="11015" max="11015" width="10.375" style="88" customWidth="1"/>
    <col min="11016" max="11016" width="10.25" style="88" customWidth="1"/>
    <col min="11017" max="11019" width="12.75" style="88" bestFit="1" customWidth="1"/>
    <col min="11020" max="11020" width="10.5" style="88" bestFit="1" customWidth="1"/>
    <col min="11021" max="11021" width="12.75" style="88" bestFit="1" customWidth="1"/>
    <col min="11022" max="11022" width="10.5" style="88" bestFit="1" customWidth="1"/>
    <col min="11023" max="11023" width="13.875" style="88" bestFit="1" customWidth="1"/>
    <col min="11024" max="11264" width="9" style="88"/>
    <col min="11265" max="11265" width="22.75" style="88" customWidth="1"/>
    <col min="11266" max="11269" width="11.625" style="88" bestFit="1" customWidth="1"/>
    <col min="11270" max="11270" width="11.625" style="88" customWidth="1"/>
    <col min="11271" max="11271" width="10.375" style="88" customWidth="1"/>
    <col min="11272" max="11272" width="10.25" style="88" customWidth="1"/>
    <col min="11273" max="11275" width="12.75" style="88" bestFit="1" customWidth="1"/>
    <col min="11276" max="11276" width="10.5" style="88" bestFit="1" customWidth="1"/>
    <col min="11277" max="11277" width="12.75" style="88" bestFit="1" customWidth="1"/>
    <col min="11278" max="11278" width="10.5" style="88" bestFit="1" customWidth="1"/>
    <col min="11279" max="11279" width="13.875" style="88" bestFit="1" customWidth="1"/>
    <col min="11280" max="11520" width="9" style="88"/>
    <col min="11521" max="11521" width="22.75" style="88" customWidth="1"/>
    <col min="11522" max="11525" width="11.625" style="88" bestFit="1" customWidth="1"/>
    <col min="11526" max="11526" width="11.625" style="88" customWidth="1"/>
    <col min="11527" max="11527" width="10.375" style="88" customWidth="1"/>
    <col min="11528" max="11528" width="10.25" style="88" customWidth="1"/>
    <col min="11529" max="11531" width="12.75" style="88" bestFit="1" customWidth="1"/>
    <col min="11532" max="11532" width="10.5" style="88" bestFit="1" customWidth="1"/>
    <col min="11533" max="11533" width="12.75" style="88" bestFit="1" customWidth="1"/>
    <col min="11534" max="11534" width="10.5" style="88" bestFit="1" customWidth="1"/>
    <col min="11535" max="11535" width="13.875" style="88" bestFit="1" customWidth="1"/>
    <col min="11536" max="11776" width="9" style="88"/>
    <col min="11777" max="11777" width="22.75" style="88" customWidth="1"/>
    <col min="11778" max="11781" width="11.625" style="88" bestFit="1" customWidth="1"/>
    <col min="11782" max="11782" width="11.625" style="88" customWidth="1"/>
    <col min="11783" max="11783" width="10.375" style="88" customWidth="1"/>
    <col min="11784" max="11784" width="10.25" style="88" customWidth="1"/>
    <col min="11785" max="11787" width="12.75" style="88" bestFit="1" customWidth="1"/>
    <col min="11788" max="11788" width="10.5" style="88" bestFit="1" customWidth="1"/>
    <col min="11789" max="11789" width="12.75" style="88" bestFit="1" customWidth="1"/>
    <col min="11790" max="11790" width="10.5" style="88" bestFit="1" customWidth="1"/>
    <col min="11791" max="11791" width="13.875" style="88" bestFit="1" customWidth="1"/>
    <col min="11792" max="12032" width="9" style="88"/>
    <col min="12033" max="12033" width="22.75" style="88" customWidth="1"/>
    <col min="12034" max="12037" width="11.625" style="88" bestFit="1" customWidth="1"/>
    <col min="12038" max="12038" width="11.625" style="88" customWidth="1"/>
    <col min="12039" max="12039" width="10.375" style="88" customWidth="1"/>
    <col min="12040" max="12040" width="10.25" style="88" customWidth="1"/>
    <col min="12041" max="12043" width="12.75" style="88" bestFit="1" customWidth="1"/>
    <col min="12044" max="12044" width="10.5" style="88" bestFit="1" customWidth="1"/>
    <col min="12045" max="12045" width="12.75" style="88" bestFit="1" customWidth="1"/>
    <col min="12046" max="12046" width="10.5" style="88" bestFit="1" customWidth="1"/>
    <col min="12047" max="12047" width="13.875" style="88" bestFit="1" customWidth="1"/>
    <col min="12048" max="12288" width="9" style="88"/>
    <col min="12289" max="12289" width="22.75" style="88" customWidth="1"/>
    <col min="12290" max="12293" width="11.625" style="88" bestFit="1" customWidth="1"/>
    <col min="12294" max="12294" width="11.625" style="88" customWidth="1"/>
    <col min="12295" max="12295" width="10.375" style="88" customWidth="1"/>
    <col min="12296" max="12296" width="10.25" style="88" customWidth="1"/>
    <col min="12297" max="12299" width="12.75" style="88" bestFit="1" customWidth="1"/>
    <col min="12300" max="12300" width="10.5" style="88" bestFit="1" customWidth="1"/>
    <col min="12301" max="12301" width="12.75" style="88" bestFit="1" customWidth="1"/>
    <col min="12302" max="12302" width="10.5" style="88" bestFit="1" customWidth="1"/>
    <col min="12303" max="12303" width="13.875" style="88" bestFit="1" customWidth="1"/>
    <col min="12304" max="12544" width="9" style="88"/>
    <col min="12545" max="12545" width="22.75" style="88" customWidth="1"/>
    <col min="12546" max="12549" width="11.625" style="88" bestFit="1" customWidth="1"/>
    <col min="12550" max="12550" width="11.625" style="88" customWidth="1"/>
    <col min="12551" max="12551" width="10.375" style="88" customWidth="1"/>
    <col min="12552" max="12552" width="10.25" style="88" customWidth="1"/>
    <col min="12553" max="12555" width="12.75" style="88" bestFit="1" customWidth="1"/>
    <col min="12556" max="12556" width="10.5" style="88" bestFit="1" customWidth="1"/>
    <col min="12557" max="12557" width="12.75" style="88" bestFit="1" customWidth="1"/>
    <col min="12558" max="12558" width="10.5" style="88" bestFit="1" customWidth="1"/>
    <col min="12559" max="12559" width="13.875" style="88" bestFit="1" customWidth="1"/>
    <col min="12560" max="12800" width="9" style="88"/>
    <col min="12801" max="12801" width="22.75" style="88" customWidth="1"/>
    <col min="12802" max="12805" width="11.625" style="88" bestFit="1" customWidth="1"/>
    <col min="12806" max="12806" width="11.625" style="88" customWidth="1"/>
    <col min="12807" max="12807" width="10.375" style="88" customWidth="1"/>
    <col min="12808" max="12808" width="10.25" style="88" customWidth="1"/>
    <col min="12809" max="12811" width="12.75" style="88" bestFit="1" customWidth="1"/>
    <col min="12812" max="12812" width="10.5" style="88" bestFit="1" customWidth="1"/>
    <col min="12813" max="12813" width="12.75" style="88" bestFit="1" customWidth="1"/>
    <col min="12814" max="12814" width="10.5" style="88" bestFit="1" customWidth="1"/>
    <col min="12815" max="12815" width="13.875" style="88" bestFit="1" customWidth="1"/>
    <col min="12816" max="13056" width="9" style="88"/>
    <col min="13057" max="13057" width="22.75" style="88" customWidth="1"/>
    <col min="13058" max="13061" width="11.625" style="88" bestFit="1" customWidth="1"/>
    <col min="13062" max="13062" width="11.625" style="88" customWidth="1"/>
    <col min="13063" max="13063" width="10.375" style="88" customWidth="1"/>
    <col min="13064" max="13064" width="10.25" style="88" customWidth="1"/>
    <col min="13065" max="13067" width="12.75" style="88" bestFit="1" customWidth="1"/>
    <col min="13068" max="13068" width="10.5" style="88" bestFit="1" customWidth="1"/>
    <col min="13069" max="13069" width="12.75" style="88" bestFit="1" customWidth="1"/>
    <col min="13070" max="13070" width="10.5" style="88" bestFit="1" customWidth="1"/>
    <col min="13071" max="13071" width="13.875" style="88" bestFit="1" customWidth="1"/>
    <col min="13072" max="13312" width="9" style="88"/>
    <col min="13313" max="13313" width="22.75" style="88" customWidth="1"/>
    <col min="13314" max="13317" width="11.625" style="88" bestFit="1" customWidth="1"/>
    <col min="13318" max="13318" width="11.625" style="88" customWidth="1"/>
    <col min="13319" max="13319" width="10.375" style="88" customWidth="1"/>
    <col min="13320" max="13320" width="10.25" style="88" customWidth="1"/>
    <col min="13321" max="13323" width="12.75" style="88" bestFit="1" customWidth="1"/>
    <col min="13324" max="13324" width="10.5" style="88" bestFit="1" customWidth="1"/>
    <col min="13325" max="13325" width="12.75" style="88" bestFit="1" customWidth="1"/>
    <col min="13326" max="13326" width="10.5" style="88" bestFit="1" customWidth="1"/>
    <col min="13327" max="13327" width="13.875" style="88" bestFit="1" customWidth="1"/>
    <col min="13328" max="13568" width="9" style="88"/>
    <col min="13569" max="13569" width="22.75" style="88" customWidth="1"/>
    <col min="13570" max="13573" width="11.625" style="88" bestFit="1" customWidth="1"/>
    <col min="13574" max="13574" width="11.625" style="88" customWidth="1"/>
    <col min="13575" max="13575" width="10.375" style="88" customWidth="1"/>
    <col min="13576" max="13576" width="10.25" style="88" customWidth="1"/>
    <col min="13577" max="13579" width="12.75" style="88" bestFit="1" customWidth="1"/>
    <col min="13580" max="13580" width="10.5" style="88" bestFit="1" customWidth="1"/>
    <col min="13581" max="13581" width="12.75" style="88" bestFit="1" customWidth="1"/>
    <col min="13582" max="13582" width="10.5" style="88" bestFit="1" customWidth="1"/>
    <col min="13583" max="13583" width="13.875" style="88" bestFit="1" customWidth="1"/>
    <col min="13584" max="13824" width="9" style="88"/>
    <col min="13825" max="13825" width="22.75" style="88" customWidth="1"/>
    <col min="13826" max="13829" width="11.625" style="88" bestFit="1" customWidth="1"/>
    <col min="13830" max="13830" width="11.625" style="88" customWidth="1"/>
    <col min="13831" max="13831" width="10.375" style="88" customWidth="1"/>
    <col min="13832" max="13832" width="10.25" style="88" customWidth="1"/>
    <col min="13833" max="13835" width="12.75" style="88" bestFit="1" customWidth="1"/>
    <col min="13836" max="13836" width="10.5" style="88" bestFit="1" customWidth="1"/>
    <col min="13837" max="13837" width="12.75" style="88" bestFit="1" customWidth="1"/>
    <col min="13838" max="13838" width="10.5" style="88" bestFit="1" customWidth="1"/>
    <col min="13839" max="13839" width="13.875" style="88" bestFit="1" customWidth="1"/>
    <col min="13840" max="14080" width="9" style="88"/>
    <col min="14081" max="14081" width="22.75" style="88" customWidth="1"/>
    <col min="14082" max="14085" width="11.625" style="88" bestFit="1" customWidth="1"/>
    <col min="14086" max="14086" width="11.625" style="88" customWidth="1"/>
    <col min="14087" max="14087" width="10.375" style="88" customWidth="1"/>
    <col min="14088" max="14088" width="10.25" style="88" customWidth="1"/>
    <col min="14089" max="14091" width="12.75" style="88" bestFit="1" customWidth="1"/>
    <col min="14092" max="14092" width="10.5" style="88" bestFit="1" customWidth="1"/>
    <col min="14093" max="14093" width="12.75" style="88" bestFit="1" customWidth="1"/>
    <col min="14094" max="14094" width="10.5" style="88" bestFit="1" customWidth="1"/>
    <col min="14095" max="14095" width="13.875" style="88" bestFit="1" customWidth="1"/>
    <col min="14096" max="14336" width="9" style="88"/>
    <col min="14337" max="14337" width="22.75" style="88" customWidth="1"/>
    <col min="14338" max="14341" width="11.625" style="88" bestFit="1" customWidth="1"/>
    <col min="14342" max="14342" width="11.625" style="88" customWidth="1"/>
    <col min="14343" max="14343" width="10.375" style="88" customWidth="1"/>
    <col min="14344" max="14344" width="10.25" style="88" customWidth="1"/>
    <col min="14345" max="14347" width="12.75" style="88" bestFit="1" customWidth="1"/>
    <col min="14348" max="14348" width="10.5" style="88" bestFit="1" customWidth="1"/>
    <col min="14349" max="14349" width="12.75" style="88" bestFit="1" customWidth="1"/>
    <col min="14350" max="14350" width="10.5" style="88" bestFit="1" customWidth="1"/>
    <col min="14351" max="14351" width="13.875" style="88" bestFit="1" customWidth="1"/>
    <col min="14352" max="14592" width="9" style="88"/>
    <col min="14593" max="14593" width="22.75" style="88" customWidth="1"/>
    <col min="14594" max="14597" width="11.625" style="88" bestFit="1" customWidth="1"/>
    <col min="14598" max="14598" width="11.625" style="88" customWidth="1"/>
    <col min="14599" max="14599" width="10.375" style="88" customWidth="1"/>
    <col min="14600" max="14600" width="10.25" style="88" customWidth="1"/>
    <col min="14601" max="14603" width="12.75" style="88" bestFit="1" customWidth="1"/>
    <col min="14604" max="14604" width="10.5" style="88" bestFit="1" customWidth="1"/>
    <col min="14605" max="14605" width="12.75" style="88" bestFit="1" customWidth="1"/>
    <col min="14606" max="14606" width="10.5" style="88" bestFit="1" customWidth="1"/>
    <col min="14607" max="14607" width="13.875" style="88" bestFit="1" customWidth="1"/>
    <col min="14608" max="14848" width="9" style="88"/>
    <col min="14849" max="14849" width="22.75" style="88" customWidth="1"/>
    <col min="14850" max="14853" width="11.625" style="88" bestFit="1" customWidth="1"/>
    <col min="14854" max="14854" width="11.625" style="88" customWidth="1"/>
    <col min="14855" max="14855" width="10.375" style="88" customWidth="1"/>
    <col min="14856" max="14856" width="10.25" style="88" customWidth="1"/>
    <col min="14857" max="14859" width="12.75" style="88" bestFit="1" customWidth="1"/>
    <col min="14860" max="14860" width="10.5" style="88" bestFit="1" customWidth="1"/>
    <col min="14861" max="14861" width="12.75" style="88" bestFit="1" customWidth="1"/>
    <col min="14862" max="14862" width="10.5" style="88" bestFit="1" customWidth="1"/>
    <col min="14863" max="14863" width="13.875" style="88" bestFit="1" customWidth="1"/>
    <col min="14864" max="15104" width="9" style="88"/>
    <col min="15105" max="15105" width="22.75" style="88" customWidth="1"/>
    <col min="15106" max="15109" width="11.625" style="88" bestFit="1" customWidth="1"/>
    <col min="15110" max="15110" width="11.625" style="88" customWidth="1"/>
    <col min="15111" max="15111" width="10.375" style="88" customWidth="1"/>
    <col min="15112" max="15112" width="10.25" style="88" customWidth="1"/>
    <col min="15113" max="15115" width="12.75" style="88" bestFit="1" customWidth="1"/>
    <col min="15116" max="15116" width="10.5" style="88" bestFit="1" customWidth="1"/>
    <col min="15117" max="15117" width="12.75" style="88" bestFit="1" customWidth="1"/>
    <col min="15118" max="15118" width="10.5" style="88" bestFit="1" customWidth="1"/>
    <col min="15119" max="15119" width="13.875" style="88" bestFit="1" customWidth="1"/>
    <col min="15120" max="15360" width="9" style="88"/>
    <col min="15361" max="15361" width="22.75" style="88" customWidth="1"/>
    <col min="15362" max="15365" width="11.625" style="88" bestFit="1" customWidth="1"/>
    <col min="15366" max="15366" width="11.625" style="88" customWidth="1"/>
    <col min="15367" max="15367" width="10.375" style="88" customWidth="1"/>
    <col min="15368" max="15368" width="10.25" style="88" customWidth="1"/>
    <col min="15369" max="15371" width="12.75" style="88" bestFit="1" customWidth="1"/>
    <col min="15372" max="15372" width="10.5" style="88" bestFit="1" customWidth="1"/>
    <col min="15373" max="15373" width="12.75" style="88" bestFit="1" customWidth="1"/>
    <col min="15374" max="15374" width="10.5" style="88" bestFit="1" customWidth="1"/>
    <col min="15375" max="15375" width="13.875" style="88" bestFit="1" customWidth="1"/>
    <col min="15376" max="15616" width="9" style="88"/>
    <col min="15617" max="15617" width="22.75" style="88" customWidth="1"/>
    <col min="15618" max="15621" width="11.625" style="88" bestFit="1" customWidth="1"/>
    <col min="15622" max="15622" width="11.625" style="88" customWidth="1"/>
    <col min="15623" max="15623" width="10.375" style="88" customWidth="1"/>
    <col min="15624" max="15624" width="10.25" style="88" customWidth="1"/>
    <col min="15625" max="15627" width="12.75" style="88" bestFit="1" customWidth="1"/>
    <col min="15628" max="15628" width="10.5" style="88" bestFit="1" customWidth="1"/>
    <col min="15629" max="15629" width="12.75" style="88" bestFit="1" customWidth="1"/>
    <col min="15630" max="15630" width="10.5" style="88" bestFit="1" customWidth="1"/>
    <col min="15631" max="15631" width="13.875" style="88" bestFit="1" customWidth="1"/>
    <col min="15632" max="15872" width="9" style="88"/>
    <col min="15873" max="15873" width="22.75" style="88" customWidth="1"/>
    <col min="15874" max="15877" width="11.625" style="88" bestFit="1" customWidth="1"/>
    <col min="15878" max="15878" width="11.625" style="88" customWidth="1"/>
    <col min="15879" max="15879" width="10.375" style="88" customWidth="1"/>
    <col min="15880" max="15880" width="10.25" style="88" customWidth="1"/>
    <col min="15881" max="15883" width="12.75" style="88" bestFit="1" customWidth="1"/>
    <col min="15884" max="15884" width="10.5" style="88" bestFit="1" customWidth="1"/>
    <col min="15885" max="15885" width="12.75" style="88" bestFit="1" customWidth="1"/>
    <col min="15886" max="15886" width="10.5" style="88" bestFit="1" customWidth="1"/>
    <col min="15887" max="15887" width="13.875" style="88" bestFit="1" customWidth="1"/>
    <col min="15888" max="16128" width="9" style="88"/>
    <col min="16129" max="16129" width="22.75" style="88" customWidth="1"/>
    <col min="16130" max="16133" width="11.625" style="88" bestFit="1" customWidth="1"/>
    <col min="16134" max="16134" width="11.625" style="88" customWidth="1"/>
    <col min="16135" max="16135" width="10.375" style="88" customWidth="1"/>
    <col min="16136" max="16136" width="10.25" style="88" customWidth="1"/>
    <col min="16137" max="16139" width="12.75" style="88" bestFit="1" customWidth="1"/>
    <col min="16140" max="16140" width="10.5" style="88" bestFit="1" customWidth="1"/>
    <col min="16141" max="16141" width="12.75" style="88" bestFit="1" customWidth="1"/>
    <col min="16142" max="16142" width="10.5" style="88" bestFit="1" customWidth="1"/>
    <col min="16143" max="16143" width="13.875" style="88" bestFit="1" customWidth="1"/>
    <col min="16144" max="16384" width="9" style="88"/>
  </cols>
  <sheetData>
    <row r="27" spans="1:10" x14ac:dyDescent="0.15">
      <c r="I27" s="90" t="s">
        <v>132</v>
      </c>
      <c r="J27" s="90">
        <v>2E-3</v>
      </c>
    </row>
    <row r="28" spans="1:10" x14ac:dyDescent="0.15">
      <c r="A28" s="90"/>
      <c r="B28" s="91" t="s">
        <v>133</v>
      </c>
      <c r="C28" s="91" t="s">
        <v>134</v>
      </c>
      <c r="D28" s="91" t="s">
        <v>135</v>
      </c>
      <c r="E28" s="91" t="s">
        <v>136</v>
      </c>
      <c r="F28" s="91" t="s">
        <v>137</v>
      </c>
      <c r="G28" s="91" t="s">
        <v>138</v>
      </c>
      <c r="I28" s="92" t="s">
        <v>139</v>
      </c>
      <c r="J28" s="90">
        <v>0.15</v>
      </c>
    </row>
    <row r="29" spans="1:10" x14ac:dyDescent="0.15">
      <c r="A29" s="90" t="s">
        <v>140</v>
      </c>
      <c r="B29" s="92"/>
      <c r="C29" s="92"/>
      <c r="D29" s="92"/>
      <c r="E29" s="92"/>
      <c r="F29" s="92"/>
      <c r="G29" s="92"/>
      <c r="I29" s="92" t="s">
        <v>141</v>
      </c>
      <c r="J29" s="90">
        <v>0.08</v>
      </c>
    </row>
    <row r="30" spans="1:10" ht="15.75" x14ac:dyDescent="0.15">
      <c r="A30" s="90"/>
      <c r="B30" s="93">
        <v>1076.8</v>
      </c>
      <c r="C30" s="93">
        <v>1106</v>
      </c>
      <c r="D30" s="93">
        <v>3977.5</v>
      </c>
      <c r="E30" s="93">
        <v>53.9</v>
      </c>
      <c r="F30" s="93">
        <v>1467.3</v>
      </c>
      <c r="G30" s="93">
        <v>407.1</v>
      </c>
      <c r="I30" s="92" t="s">
        <v>142</v>
      </c>
      <c r="J30" s="90">
        <f>J27*SQRT(2)/2</f>
        <v>1.4142135623730952E-3</v>
      </c>
    </row>
    <row r="31" spans="1:10" ht="15.75" x14ac:dyDescent="0.15">
      <c r="A31" s="90"/>
      <c r="B31" s="93">
        <v>5399.4</v>
      </c>
      <c r="C31" s="93">
        <v>5795.6</v>
      </c>
      <c r="D31" s="93">
        <v>6009.6</v>
      </c>
      <c r="E31" s="93">
        <v>282.39999999999998</v>
      </c>
      <c r="F31" s="93">
        <v>2136.3000000000002</v>
      </c>
      <c r="G31" s="93">
        <v>2133.8000000000002</v>
      </c>
      <c r="I31" s="92"/>
      <c r="J31" s="94"/>
    </row>
    <row r="33" spans="1:15" x14ac:dyDescent="0.15">
      <c r="A33" s="90" t="s">
        <v>143</v>
      </c>
      <c r="B33" s="91" t="s">
        <v>144</v>
      </c>
      <c r="C33" s="91" t="s">
        <v>145</v>
      </c>
      <c r="D33" s="91" t="s">
        <v>146</v>
      </c>
      <c r="E33" s="91" t="s">
        <v>147</v>
      </c>
      <c r="F33" s="91" t="s">
        <v>148</v>
      </c>
      <c r="G33" s="91" t="s">
        <v>149</v>
      </c>
      <c r="H33" s="91" t="s">
        <v>150</v>
      </c>
      <c r="I33" s="91" t="s">
        <v>151</v>
      </c>
      <c r="J33" s="91" t="s">
        <v>152</v>
      </c>
      <c r="K33" s="91" t="s">
        <v>153</v>
      </c>
      <c r="L33" s="91" t="s">
        <v>154</v>
      </c>
      <c r="M33" s="91" t="s">
        <v>155</v>
      </c>
      <c r="N33" s="91" t="s">
        <v>156</v>
      </c>
      <c r="O33" s="91" t="s">
        <v>157</v>
      </c>
    </row>
    <row r="34" spans="1:15" x14ac:dyDescent="0.15">
      <c r="A34" s="94">
        <v>6.8400000000000004E-4</v>
      </c>
      <c r="B34" s="94">
        <v>7.2399999999999997E-7</v>
      </c>
      <c r="C34" s="94">
        <v>2.1299999999999999E-6</v>
      </c>
      <c r="D34" s="94">
        <f>J28/2+J30</f>
        <v>7.6414213562373087E-2</v>
      </c>
      <c r="E34" s="94">
        <f>J29/2+J30</f>
        <v>4.1414213562373098E-2</v>
      </c>
      <c r="F34" s="94">
        <f>B34+C34</f>
        <v>2.8540000000000001E-6</v>
      </c>
      <c r="G34" s="95">
        <v>0.61</v>
      </c>
      <c r="H34" s="95">
        <v>0.39</v>
      </c>
      <c r="I34" s="95">
        <f>B29/A34/1000000</f>
        <v>0</v>
      </c>
      <c r="J34" s="95">
        <f>C29/A34/G34/1000000</f>
        <v>0</v>
      </c>
      <c r="K34" s="95">
        <f>D29/A34/H34/1000000</f>
        <v>0</v>
      </c>
      <c r="L34" s="95">
        <f>F29/B34*E34/1000000</f>
        <v>0</v>
      </c>
      <c r="M34" s="95">
        <f>G29/C34*D34/1000000</f>
        <v>0</v>
      </c>
      <c r="N34" s="95">
        <f>E29/F34*E34/1000000</f>
        <v>0</v>
      </c>
      <c r="O34" s="95">
        <f>E29/F34*D34/1000000</f>
        <v>0</v>
      </c>
    </row>
    <row r="35" spans="1:15" x14ac:dyDescent="0.15">
      <c r="A35" s="94">
        <v>6.8400000000000004E-4</v>
      </c>
      <c r="B35" s="94">
        <v>7.2399999999999997E-7</v>
      </c>
      <c r="C35" s="94">
        <v>2.1299999999999999E-6</v>
      </c>
      <c r="D35" s="94">
        <f>J28/2+J30</f>
        <v>7.6414213562373087E-2</v>
      </c>
      <c r="E35" s="94">
        <f>J29/2+J30</f>
        <v>4.1414213562373098E-2</v>
      </c>
      <c r="F35" s="94">
        <f>B35+C35</f>
        <v>2.8540000000000001E-6</v>
      </c>
      <c r="G35" s="95">
        <v>0.61</v>
      </c>
      <c r="H35" s="95">
        <v>0.39</v>
      </c>
      <c r="I35" s="95">
        <f>B30/A35/1000000</f>
        <v>1.5742690058479529</v>
      </c>
      <c r="J35" s="95">
        <f>C30/A35/G35/1000000</f>
        <v>2.6507525644712877</v>
      </c>
      <c r="K35" s="95">
        <f>D30/A35/H35/1000000</f>
        <v>14.910406357774777</v>
      </c>
      <c r="L35" s="95">
        <f>F30/B35*E35/1000000</f>
        <v>83.932424806726587</v>
      </c>
      <c r="M35" s="95">
        <f>G30/C35*D35/1000000</f>
        <v>14.60480109917469</v>
      </c>
      <c r="N35" s="95">
        <f>E30/F35*E35/1000000</f>
        <v>0.78213949229569368</v>
      </c>
      <c r="O35" s="95">
        <f>E30/F35*D35/1000000</f>
        <v>1.4431415946082373</v>
      </c>
    </row>
    <row r="36" spans="1:15" x14ac:dyDescent="0.15">
      <c r="A36" s="94">
        <v>6.8400000000000004E-4</v>
      </c>
      <c r="B36" s="94">
        <v>7.2399999999999997E-7</v>
      </c>
      <c r="C36" s="94">
        <v>2.1299999999999999E-6</v>
      </c>
      <c r="D36" s="94">
        <f>J28/2+J30</f>
        <v>7.6414213562373087E-2</v>
      </c>
      <c r="E36" s="94">
        <f>J29/2+J30</f>
        <v>4.1414213562373098E-2</v>
      </c>
      <c r="F36" s="94">
        <f>B36+C36</f>
        <v>2.8540000000000001E-6</v>
      </c>
      <c r="G36" s="95">
        <v>0.61</v>
      </c>
      <c r="H36" s="95">
        <v>0.39</v>
      </c>
      <c r="I36" s="95">
        <f>B31/A36/1000000</f>
        <v>7.8938596491228061</v>
      </c>
      <c r="J36" s="95">
        <f>C31/A36/G36/1000000</f>
        <v>13.890326910171604</v>
      </c>
      <c r="K36" s="95">
        <f>D31/A36/H36/1000000</f>
        <v>22.528115159694106</v>
      </c>
      <c r="L36" s="95">
        <f>F31/B36*E36/1000000</f>
        <v>122.20053098521777</v>
      </c>
      <c r="M36" s="95">
        <f>G31/C36*D36/1000000</f>
        <v>76.550539389385776</v>
      </c>
      <c r="N36" s="95">
        <f>E31/F36*E36/1000000</f>
        <v>4.0978885459054526</v>
      </c>
      <c r="O36" s="95">
        <f>E31/F36*D36/1000000</f>
        <v>7.5610980763889835</v>
      </c>
    </row>
    <row r="38" spans="1:15" x14ac:dyDescent="0.15">
      <c r="B38" s="96"/>
      <c r="C38" s="96" t="s">
        <v>158</v>
      </c>
      <c r="D38" s="96" t="s">
        <v>159</v>
      </c>
      <c r="E38" s="96" t="s">
        <v>27</v>
      </c>
      <c r="F38" s="96" t="s">
        <v>160</v>
      </c>
      <c r="G38" s="96" t="s">
        <v>19</v>
      </c>
      <c r="H38" s="96" t="s">
        <v>27</v>
      </c>
      <c r="I38" s="97" t="s">
        <v>161</v>
      </c>
      <c r="J38" s="96" t="s">
        <v>19</v>
      </c>
      <c r="K38" s="96" t="s">
        <v>27</v>
      </c>
    </row>
    <row r="39" spans="1:15" s="98" customFormat="1" ht="15.75" x14ac:dyDescent="0.15">
      <c r="B39" s="99" t="s">
        <v>140</v>
      </c>
      <c r="C39" s="100">
        <f>SQRT((J34+N34)^2+(K34+O34)^2)</f>
        <v>0</v>
      </c>
      <c r="D39" s="100">
        <f>0.6*G39</f>
        <v>87</v>
      </c>
      <c r="E39" s="100">
        <f>C39/D39</f>
        <v>0</v>
      </c>
      <c r="F39" s="100">
        <f>SQRT(I34^2+3*C39^2)</f>
        <v>0</v>
      </c>
      <c r="G39" s="100">
        <v>145</v>
      </c>
      <c r="H39" s="100">
        <f>F39/G39</f>
        <v>0</v>
      </c>
      <c r="I39" s="100">
        <f>SQRT((I34+L34+M34)^2+3*C39^2)</f>
        <v>0</v>
      </c>
      <c r="J39" s="100">
        <f>1*G39</f>
        <v>145</v>
      </c>
      <c r="K39" s="100">
        <f>I39/J39</f>
        <v>0</v>
      </c>
    </row>
    <row r="40" spans="1:15" s="98" customFormat="1" ht="15.75" x14ac:dyDescent="0.15">
      <c r="B40" s="99" t="s">
        <v>28</v>
      </c>
      <c r="C40" s="100">
        <f>SQRT((J35+N35)^2+(K35+O35)^2)</f>
        <v>16.709975419021553</v>
      </c>
      <c r="D40" s="100">
        <f>0.6*G40</f>
        <v>87</v>
      </c>
      <c r="E40" s="100">
        <f>C40/D40</f>
        <v>0.19206868297725924</v>
      </c>
      <c r="F40" s="100">
        <f>SQRT(I35^2+3*C40^2)</f>
        <v>28.985309355183482</v>
      </c>
      <c r="G40" s="100">
        <f>G39</f>
        <v>145</v>
      </c>
      <c r="H40" s="100">
        <f>F40/G40</f>
        <v>0.19989868520816195</v>
      </c>
      <c r="I40" s="100">
        <f>SQRT((I35+L35+M35)^2+3*C40^2)</f>
        <v>104.21123379452959</v>
      </c>
      <c r="J40" s="100">
        <f>1*G40</f>
        <v>145</v>
      </c>
      <c r="K40" s="100">
        <f>I40/J40</f>
        <v>0.71869816410020404</v>
      </c>
    </row>
    <row r="41" spans="1:15" s="98" customFormat="1" ht="15.75" x14ac:dyDescent="0.15">
      <c r="B41" s="99" t="s">
        <v>29</v>
      </c>
      <c r="C41" s="100">
        <f>SQRT((J36+N36)^2+(K36+O36)^2)</f>
        <v>35.056192726260612</v>
      </c>
      <c r="D41" s="100">
        <f>0.6*G41</f>
        <v>134.41499999999999</v>
      </c>
      <c r="E41" s="100">
        <f>C41/D41</f>
        <v>0.26080565953398516</v>
      </c>
      <c r="F41" s="100">
        <f>SQRT(I36^2+3*C41^2)</f>
        <v>61.23008219447555</v>
      </c>
      <c r="G41" s="100">
        <f>1.545*G39</f>
        <v>224.02499999999998</v>
      </c>
      <c r="H41" s="100">
        <f>F41/G41</f>
        <v>0.27331807697567484</v>
      </c>
      <c r="I41" s="100">
        <f>SQRT((I36+L36+M36)^2+3*C41^2)</f>
        <v>215.38091152628397</v>
      </c>
      <c r="J41" s="100">
        <f>1*G41</f>
        <v>224.02499999999998</v>
      </c>
      <c r="K41" s="100">
        <f>I41/J41</f>
        <v>0.96141462571714764</v>
      </c>
    </row>
    <row r="44" spans="1:15" x14ac:dyDescent="0.15">
      <c r="B44" s="88"/>
      <c r="C44" s="96" t="s">
        <v>162</v>
      </c>
      <c r="D44" s="96" t="s">
        <v>163</v>
      </c>
      <c r="E44" s="96" t="s">
        <v>114</v>
      </c>
      <c r="F44" s="97" t="s">
        <v>164</v>
      </c>
      <c r="G44" s="96" t="s">
        <v>165</v>
      </c>
      <c r="H44" s="96" t="s">
        <v>114</v>
      </c>
    </row>
    <row r="45" spans="1:15" ht="15.75" x14ac:dyDescent="0.15">
      <c r="B45" s="99" t="s">
        <v>166</v>
      </c>
      <c r="C45" s="101">
        <f>C40</f>
        <v>16.709975419021553</v>
      </c>
      <c r="D45" s="101">
        <f>D40</f>
        <v>87</v>
      </c>
      <c r="E45" s="101">
        <f>C45/D45</f>
        <v>0.19206868297725924</v>
      </c>
      <c r="F45" s="101">
        <f>I40</f>
        <v>104.21123379452959</v>
      </c>
      <c r="G45" s="101">
        <f>J40</f>
        <v>145</v>
      </c>
      <c r="H45" s="101">
        <f>F45/G45</f>
        <v>0.71869816410020404</v>
      </c>
    </row>
    <row r="46" spans="1:15" ht="15.75" x14ac:dyDescent="0.15">
      <c r="B46" s="99" t="s">
        <v>121</v>
      </c>
      <c r="C46" s="101">
        <f>C41</f>
        <v>35.056192726260612</v>
      </c>
      <c r="D46" s="101">
        <f>D41</f>
        <v>134.41499999999999</v>
      </c>
      <c r="E46" s="101">
        <f>C46/D46</f>
        <v>0.26080565953398516</v>
      </c>
      <c r="F46" s="101">
        <f>I41</f>
        <v>215.38091152628397</v>
      </c>
      <c r="G46" s="101">
        <f>J41</f>
        <v>224.02499999999998</v>
      </c>
      <c r="H46" s="101">
        <f>F46/G46</f>
        <v>0.96141462571714764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60"/>
  <sheetViews>
    <sheetView zoomScaleNormal="100" workbookViewId="0">
      <selection activeCell="J37" sqref="J37"/>
    </sheetView>
  </sheetViews>
  <sheetFormatPr defaultRowHeight="13.5" x14ac:dyDescent="0.15"/>
  <cols>
    <col min="1" max="7" width="9" style="88"/>
    <col min="8" max="8" width="11" style="88" customWidth="1"/>
    <col min="9" max="13" width="9" style="88"/>
    <col min="14" max="14" width="13.875" style="88" bestFit="1" customWidth="1"/>
    <col min="15" max="16" width="9.5" style="88" bestFit="1" customWidth="1"/>
    <col min="17" max="17" width="10.75" style="88" customWidth="1"/>
    <col min="18" max="19" width="9.5" style="88" bestFit="1" customWidth="1"/>
    <col min="20" max="16384" width="9" style="88"/>
  </cols>
  <sheetData>
    <row r="3" spans="4:19" x14ac:dyDescent="0.15">
      <c r="D3" s="88" t="s">
        <v>0</v>
      </c>
      <c r="E3" s="88" t="s">
        <v>1</v>
      </c>
      <c r="F3" s="88" t="s">
        <v>2</v>
      </c>
      <c r="G3" s="88" t="s">
        <v>3</v>
      </c>
      <c r="H3" s="88" t="s">
        <v>4</v>
      </c>
      <c r="I3" s="88" t="s">
        <v>5</v>
      </c>
      <c r="J3" s="88" t="s">
        <v>6</v>
      </c>
      <c r="M3" s="88" t="s">
        <v>0</v>
      </c>
      <c r="N3" s="88" t="s">
        <v>1</v>
      </c>
      <c r="O3" s="88" t="s">
        <v>2</v>
      </c>
      <c r="P3" s="88" t="s">
        <v>3</v>
      </c>
      <c r="Q3" s="88" t="s">
        <v>4</v>
      </c>
      <c r="R3" s="88" t="s">
        <v>5</v>
      </c>
      <c r="S3" s="88" t="s">
        <v>6</v>
      </c>
    </row>
    <row r="4" spans="4:19" x14ac:dyDescent="0.15">
      <c r="D4" s="88">
        <v>124</v>
      </c>
      <c r="E4" s="88">
        <v>-637.03</v>
      </c>
      <c r="F4" s="88">
        <v>-718.48</v>
      </c>
      <c r="G4" s="88">
        <v>-1974.8</v>
      </c>
      <c r="H4" s="105">
        <v>-34.610999999999997</v>
      </c>
      <c r="I4" s="88">
        <v>240.49</v>
      </c>
      <c r="J4" s="88">
        <v>-211.55</v>
      </c>
      <c r="M4" s="88">
        <v>124</v>
      </c>
      <c r="N4" s="88">
        <v>-4152.5</v>
      </c>
      <c r="O4" s="88">
        <v>-4688.7</v>
      </c>
      <c r="P4" s="88">
        <v>-2829.6</v>
      </c>
      <c r="Q4" s="105">
        <v>-225.82</v>
      </c>
      <c r="R4" s="88">
        <v>-0.83672999999999997</v>
      </c>
      <c r="S4" s="88">
        <v>-1381.3</v>
      </c>
    </row>
    <row r="5" spans="4:19" x14ac:dyDescent="0.15">
      <c r="D5" s="88">
        <v>145</v>
      </c>
      <c r="E5" s="88">
        <v>-567.5</v>
      </c>
      <c r="F5" s="88">
        <v>-633.29</v>
      </c>
      <c r="G5" s="88">
        <v>-1908.6</v>
      </c>
      <c r="H5" s="105">
        <v>-30.484999999999999</v>
      </c>
      <c r="I5" s="88">
        <v>264.57</v>
      </c>
      <c r="J5" s="88">
        <v>-186.18</v>
      </c>
      <c r="M5" s="88">
        <v>145</v>
      </c>
      <c r="N5" s="88">
        <v>-3577.7</v>
      </c>
      <c r="O5" s="88">
        <v>-4064.5</v>
      </c>
      <c r="P5" s="88">
        <v>-2752.2</v>
      </c>
      <c r="Q5" s="105">
        <v>-195.68</v>
      </c>
      <c r="R5" s="88">
        <v>30.021999999999998</v>
      </c>
      <c r="S5" s="88">
        <v>-1195.7</v>
      </c>
    </row>
    <row r="6" spans="4:19" x14ac:dyDescent="0.15">
      <c r="D6" s="88">
        <v>166</v>
      </c>
      <c r="E6" s="88">
        <v>-521.63</v>
      </c>
      <c r="F6" s="88">
        <v>-556.80999999999995</v>
      </c>
      <c r="G6" s="88">
        <v>-1893.9</v>
      </c>
      <c r="H6" s="105">
        <v>-26.797999999999998</v>
      </c>
      <c r="I6" s="88">
        <v>267.95</v>
      </c>
      <c r="J6" s="88">
        <v>-163.53</v>
      </c>
      <c r="M6" s="88">
        <v>166</v>
      </c>
      <c r="N6" s="88">
        <v>-3022.1</v>
      </c>
      <c r="O6" s="88">
        <v>-3442.8</v>
      </c>
      <c r="P6" s="88">
        <v>-2726.5</v>
      </c>
      <c r="Q6" s="105">
        <v>-165.69</v>
      </c>
      <c r="R6" s="88">
        <v>33.892000000000003</v>
      </c>
      <c r="S6" s="88">
        <v>-1011.5</v>
      </c>
    </row>
    <row r="7" spans="4:19" x14ac:dyDescent="0.15">
      <c r="D7" s="88">
        <v>187</v>
      </c>
      <c r="E7" s="88">
        <v>-486.82</v>
      </c>
      <c r="F7" s="88">
        <v>-491.68</v>
      </c>
      <c r="G7" s="88">
        <v>-1874.8</v>
      </c>
      <c r="H7" s="105">
        <v>-23.675999999999998</v>
      </c>
      <c r="I7" s="88">
        <v>277.07</v>
      </c>
      <c r="J7" s="88">
        <v>-144.38999999999999</v>
      </c>
      <c r="M7" s="88">
        <v>187</v>
      </c>
      <c r="N7" s="88">
        <v>-2492.9</v>
      </c>
      <c r="O7" s="88">
        <v>-2840.5</v>
      </c>
      <c r="P7" s="88">
        <v>-2681.1</v>
      </c>
      <c r="Q7" s="105">
        <v>-136.66</v>
      </c>
      <c r="R7" s="88">
        <v>49.805</v>
      </c>
      <c r="S7" s="88">
        <v>-833.48</v>
      </c>
    </row>
    <row r="8" spans="4:19" x14ac:dyDescent="0.15">
      <c r="D8" s="88">
        <v>208</v>
      </c>
      <c r="E8" s="88">
        <v>-453.11</v>
      </c>
      <c r="F8" s="88">
        <v>-435.41</v>
      </c>
      <c r="G8" s="88">
        <v>-1867.7</v>
      </c>
      <c r="H8" s="105">
        <v>-20.983000000000001</v>
      </c>
      <c r="I8" s="88">
        <v>281.12</v>
      </c>
      <c r="J8" s="88">
        <v>-127.98</v>
      </c>
      <c r="M8" s="88">
        <v>208</v>
      </c>
      <c r="N8" s="88">
        <v>-2004.5</v>
      </c>
      <c r="O8" s="88">
        <v>-2273.3000000000002</v>
      </c>
      <c r="P8" s="88">
        <v>-2633.6</v>
      </c>
      <c r="Q8" s="105">
        <v>-109.34</v>
      </c>
      <c r="R8" s="88">
        <v>62.936999999999998</v>
      </c>
      <c r="S8" s="88">
        <v>-666.37</v>
      </c>
    </row>
    <row r="9" spans="4:19" x14ac:dyDescent="0.15">
      <c r="D9" s="88">
        <v>229</v>
      </c>
      <c r="E9" s="88">
        <v>-789.64</v>
      </c>
      <c r="F9" s="88">
        <v>-718.48</v>
      </c>
      <c r="G9" s="88">
        <v>-1857.5</v>
      </c>
      <c r="H9" s="105">
        <v>-34.61</v>
      </c>
      <c r="I9" s="88">
        <v>146.44999999999999</v>
      </c>
      <c r="J9" s="88">
        <v>-211.54</v>
      </c>
      <c r="M9" s="88">
        <v>229</v>
      </c>
      <c r="N9" s="88">
        <v>-4347</v>
      </c>
      <c r="O9" s="88">
        <v>-4688.7</v>
      </c>
      <c r="P9" s="88">
        <v>-2604.6999999999998</v>
      </c>
      <c r="Q9" s="105">
        <v>-225.82</v>
      </c>
      <c r="R9" s="88">
        <v>-70.491</v>
      </c>
      <c r="S9" s="88">
        <v>-1381.3</v>
      </c>
    </row>
    <row r="10" spans="4:19" x14ac:dyDescent="0.15">
      <c r="D10" s="88">
        <v>250</v>
      </c>
      <c r="E10" s="88">
        <v>-660.72</v>
      </c>
      <c r="F10" s="88">
        <v>-633.29</v>
      </c>
      <c r="G10" s="88">
        <v>-1749</v>
      </c>
      <c r="H10" s="105">
        <v>-30.484000000000002</v>
      </c>
      <c r="I10" s="88">
        <v>182.17</v>
      </c>
      <c r="J10" s="88">
        <v>-186.17</v>
      </c>
      <c r="M10" s="88">
        <v>250</v>
      </c>
      <c r="N10" s="88">
        <v>-3684.6</v>
      </c>
      <c r="O10" s="88">
        <v>-4064.5</v>
      </c>
      <c r="P10" s="88">
        <v>-2453</v>
      </c>
      <c r="Q10" s="105">
        <v>-195.68</v>
      </c>
      <c r="R10" s="88">
        <v>-16.977</v>
      </c>
      <c r="S10" s="88">
        <v>-1195.7</v>
      </c>
    </row>
    <row r="11" spans="4:19" x14ac:dyDescent="0.15">
      <c r="D11" s="88">
        <v>271</v>
      </c>
      <c r="E11" s="88">
        <v>-559.35</v>
      </c>
      <c r="F11" s="88">
        <v>-556.80999999999995</v>
      </c>
      <c r="G11" s="88">
        <v>-1717.8</v>
      </c>
      <c r="H11" s="105">
        <v>-26.797999999999998</v>
      </c>
      <c r="I11" s="88">
        <v>189.5</v>
      </c>
      <c r="J11" s="88">
        <v>-163.53</v>
      </c>
      <c r="M11" s="88">
        <v>271</v>
      </c>
      <c r="N11" s="88">
        <v>-3052.9</v>
      </c>
      <c r="O11" s="88">
        <v>-3442.8</v>
      </c>
      <c r="P11" s="88">
        <v>-2413.6999999999998</v>
      </c>
      <c r="Q11" s="105">
        <v>-165.69</v>
      </c>
      <c r="R11" s="88">
        <v>-9.5548999999999999</v>
      </c>
      <c r="S11" s="88">
        <v>-1011.5</v>
      </c>
    </row>
    <row r="12" spans="4:19" x14ac:dyDescent="0.15">
      <c r="D12" s="88">
        <v>292</v>
      </c>
      <c r="E12" s="88">
        <v>-485.83</v>
      </c>
      <c r="F12" s="88">
        <v>-491.68</v>
      </c>
      <c r="G12" s="88">
        <v>-1676.7</v>
      </c>
      <c r="H12" s="105">
        <v>-23.675999999999998</v>
      </c>
      <c r="I12" s="88">
        <v>204.38</v>
      </c>
      <c r="J12" s="88">
        <v>-144.38999999999999</v>
      </c>
      <c r="M12" s="88">
        <v>292</v>
      </c>
      <c r="N12" s="88">
        <v>-2467.4</v>
      </c>
      <c r="O12" s="88">
        <v>-2840.5</v>
      </c>
      <c r="P12" s="88">
        <v>-2351.6999999999998</v>
      </c>
      <c r="Q12" s="105">
        <v>-136.66</v>
      </c>
      <c r="R12" s="88">
        <v>11.933</v>
      </c>
      <c r="S12" s="88">
        <v>-833.48</v>
      </c>
    </row>
    <row r="13" spans="4:19" x14ac:dyDescent="0.15">
      <c r="D13" s="88">
        <v>313</v>
      </c>
      <c r="E13" s="88">
        <v>-429.48</v>
      </c>
      <c r="F13" s="88">
        <v>-435.42</v>
      </c>
      <c r="G13" s="88">
        <v>-1665.2</v>
      </c>
      <c r="H13" s="105">
        <v>-20.983000000000001</v>
      </c>
      <c r="I13" s="88">
        <v>209.01</v>
      </c>
      <c r="J13" s="88">
        <v>-127.98</v>
      </c>
      <c r="M13" s="88">
        <v>313</v>
      </c>
      <c r="N13" s="88">
        <v>-1944.9</v>
      </c>
      <c r="O13" s="88">
        <v>-2273.3000000000002</v>
      </c>
      <c r="P13" s="88">
        <v>-2319.9</v>
      </c>
      <c r="Q13" s="105">
        <v>-109.34</v>
      </c>
      <c r="R13" s="88">
        <v>20.346</v>
      </c>
      <c r="S13" s="88">
        <v>-666.37</v>
      </c>
    </row>
    <row r="14" spans="4:19" x14ac:dyDescent="0.15">
      <c r="D14" s="88">
        <v>334</v>
      </c>
      <c r="E14" s="88">
        <v>-637.03</v>
      </c>
      <c r="F14" s="88">
        <v>-718.48</v>
      </c>
      <c r="G14" s="88">
        <v>-1974.8</v>
      </c>
      <c r="H14" s="105">
        <v>-34.61</v>
      </c>
      <c r="I14" s="88">
        <v>240.49</v>
      </c>
      <c r="J14" s="88">
        <v>-211.53</v>
      </c>
      <c r="M14" s="88">
        <v>334</v>
      </c>
      <c r="N14" s="88">
        <v>-4152.5</v>
      </c>
      <c r="O14" s="88">
        <v>-4688.7</v>
      </c>
      <c r="P14" s="88">
        <v>-2829.6</v>
      </c>
      <c r="Q14" s="105">
        <v>-225.82</v>
      </c>
      <c r="R14" s="88">
        <v>-0.83672999999999997</v>
      </c>
      <c r="S14" s="88">
        <v>-1381.2</v>
      </c>
    </row>
    <row r="15" spans="4:19" x14ac:dyDescent="0.15">
      <c r="D15" s="88">
        <v>355</v>
      </c>
      <c r="E15" s="88">
        <v>-567.5</v>
      </c>
      <c r="F15" s="88">
        <v>-633.29999999999995</v>
      </c>
      <c r="G15" s="88">
        <v>-1908.6</v>
      </c>
      <c r="H15" s="105">
        <v>-30.484000000000002</v>
      </c>
      <c r="I15" s="88">
        <v>264.57</v>
      </c>
      <c r="J15" s="88">
        <v>-186.17</v>
      </c>
      <c r="M15" s="88">
        <v>355</v>
      </c>
      <c r="N15" s="88">
        <v>-3577.7</v>
      </c>
      <c r="O15" s="88">
        <v>-4064.5</v>
      </c>
      <c r="P15" s="88">
        <v>-2752.2</v>
      </c>
      <c r="Q15" s="105">
        <v>-195.68</v>
      </c>
      <c r="R15" s="88">
        <v>30.021999999999998</v>
      </c>
      <c r="S15" s="88">
        <v>-1195.7</v>
      </c>
    </row>
    <row r="16" spans="4:19" x14ac:dyDescent="0.15">
      <c r="D16" s="88">
        <v>376</v>
      </c>
      <c r="E16" s="88">
        <v>-521.63</v>
      </c>
      <c r="F16" s="88">
        <v>-556.82000000000005</v>
      </c>
      <c r="G16" s="88">
        <v>-1893.9</v>
      </c>
      <c r="H16" s="105">
        <v>-26.797000000000001</v>
      </c>
      <c r="I16" s="88">
        <v>267.95</v>
      </c>
      <c r="J16" s="88">
        <v>-163.53</v>
      </c>
      <c r="M16" s="88">
        <v>376</v>
      </c>
      <c r="N16" s="88">
        <v>-3022.1</v>
      </c>
      <c r="O16" s="88">
        <v>-3442.8</v>
      </c>
      <c r="P16" s="88">
        <v>-2726.5</v>
      </c>
      <c r="Q16" s="105">
        <v>-165.69</v>
      </c>
      <c r="R16" s="88">
        <v>33.892000000000003</v>
      </c>
      <c r="S16" s="88">
        <v>-1011.5</v>
      </c>
    </row>
    <row r="17" spans="4:19" x14ac:dyDescent="0.15">
      <c r="D17" s="88">
        <v>397</v>
      </c>
      <c r="E17" s="88">
        <v>-486.82</v>
      </c>
      <c r="F17" s="88">
        <v>-491.68</v>
      </c>
      <c r="G17" s="88">
        <v>-1874.8</v>
      </c>
      <c r="H17" s="105">
        <v>-23.675999999999998</v>
      </c>
      <c r="I17" s="88">
        <v>277.07</v>
      </c>
      <c r="J17" s="88">
        <v>-144.4</v>
      </c>
      <c r="M17" s="88">
        <v>397</v>
      </c>
      <c r="N17" s="88">
        <v>-2492.9</v>
      </c>
      <c r="O17" s="88">
        <v>-2840.5</v>
      </c>
      <c r="P17" s="88">
        <v>-2681.1</v>
      </c>
      <c r="Q17" s="105">
        <v>-136.66</v>
      </c>
      <c r="R17" s="88">
        <v>49.805</v>
      </c>
      <c r="S17" s="88">
        <v>-833.48</v>
      </c>
    </row>
    <row r="18" spans="4:19" x14ac:dyDescent="0.15">
      <c r="D18" s="88">
        <v>418</v>
      </c>
      <c r="E18" s="88">
        <v>-453.11</v>
      </c>
      <c r="F18" s="88">
        <v>-435.42</v>
      </c>
      <c r="G18" s="88">
        <v>-1867.7</v>
      </c>
      <c r="H18" s="105">
        <v>-20.983000000000001</v>
      </c>
      <c r="I18" s="88">
        <v>281.12</v>
      </c>
      <c r="J18" s="88">
        <v>-127.98</v>
      </c>
      <c r="M18" s="88">
        <v>418</v>
      </c>
      <c r="N18" s="88">
        <v>-2004.5</v>
      </c>
      <c r="O18" s="88">
        <v>-2273.3000000000002</v>
      </c>
      <c r="P18" s="88">
        <v>-2633.6</v>
      </c>
      <c r="Q18" s="105">
        <v>-109.34</v>
      </c>
      <c r="R18" s="88">
        <v>62.936999999999998</v>
      </c>
      <c r="S18" s="88">
        <v>-666.38</v>
      </c>
    </row>
    <row r="19" spans="4:19" x14ac:dyDescent="0.15">
      <c r="D19" s="88">
        <v>124</v>
      </c>
      <c r="E19" s="88">
        <v>726.98</v>
      </c>
      <c r="F19" s="88">
        <v>718.48</v>
      </c>
      <c r="G19" s="88">
        <v>-853.87</v>
      </c>
      <c r="H19" s="105">
        <v>34.61</v>
      </c>
      <c r="I19" s="88">
        <v>602.4</v>
      </c>
      <c r="J19" s="88">
        <v>211.53</v>
      </c>
      <c r="M19" s="88">
        <v>124</v>
      </c>
      <c r="N19" s="88">
        <v>4242.5</v>
      </c>
      <c r="O19" s="88">
        <v>4688.7</v>
      </c>
      <c r="P19" s="88">
        <v>0.99902000000000002</v>
      </c>
      <c r="Q19" s="105">
        <v>225.82</v>
      </c>
      <c r="R19" s="88">
        <v>843.72</v>
      </c>
      <c r="S19" s="88">
        <v>1381.2</v>
      </c>
    </row>
    <row r="20" spans="4:19" x14ac:dyDescent="0.15">
      <c r="D20" s="88">
        <v>145</v>
      </c>
      <c r="E20" s="88">
        <v>621.30999999999995</v>
      </c>
      <c r="F20" s="88">
        <v>633.29999999999995</v>
      </c>
      <c r="G20" s="88">
        <v>-920.59</v>
      </c>
      <c r="H20" s="105">
        <v>30.484000000000002</v>
      </c>
      <c r="I20" s="88">
        <v>578.29999999999995</v>
      </c>
      <c r="J20" s="88">
        <v>186.17</v>
      </c>
      <c r="M20" s="88">
        <v>145</v>
      </c>
      <c r="N20" s="88">
        <v>3631.5</v>
      </c>
      <c r="O20" s="88">
        <v>4064.5</v>
      </c>
      <c r="P20" s="88">
        <v>-77.063999999999993</v>
      </c>
      <c r="Q20" s="105">
        <v>195.68</v>
      </c>
      <c r="R20" s="88">
        <v>812.85</v>
      </c>
      <c r="S20" s="88">
        <v>1195.7</v>
      </c>
    </row>
    <row r="21" spans="4:19" x14ac:dyDescent="0.15">
      <c r="D21" s="88">
        <v>166</v>
      </c>
      <c r="E21" s="88">
        <v>544.79</v>
      </c>
      <c r="F21" s="88">
        <v>556.82000000000005</v>
      </c>
      <c r="G21" s="88">
        <v>-936.21</v>
      </c>
      <c r="H21" s="105">
        <v>26.797000000000001</v>
      </c>
      <c r="I21" s="88">
        <v>575.04</v>
      </c>
      <c r="J21" s="88">
        <v>163.53</v>
      </c>
      <c r="M21" s="88">
        <v>166</v>
      </c>
      <c r="N21" s="88">
        <v>3045.3</v>
      </c>
      <c r="O21" s="88">
        <v>3442.8</v>
      </c>
      <c r="P21" s="88">
        <v>-103.67</v>
      </c>
      <c r="Q21" s="105">
        <v>165.69</v>
      </c>
      <c r="R21" s="88">
        <v>809.09</v>
      </c>
      <c r="S21" s="88">
        <v>1011.5</v>
      </c>
    </row>
    <row r="22" spans="4:19" x14ac:dyDescent="0.15">
      <c r="D22" s="88">
        <v>187</v>
      </c>
      <c r="E22" s="88">
        <v>486.23</v>
      </c>
      <c r="F22" s="88">
        <v>491.68</v>
      </c>
      <c r="G22" s="88">
        <v>-956.46</v>
      </c>
      <c r="H22" s="105">
        <v>23.675999999999998</v>
      </c>
      <c r="I22" s="88">
        <v>566.13</v>
      </c>
      <c r="J22" s="88">
        <v>144.4</v>
      </c>
      <c r="M22" s="88">
        <v>187</v>
      </c>
      <c r="N22" s="88">
        <v>2492.3000000000002</v>
      </c>
      <c r="O22" s="88">
        <v>2840.5</v>
      </c>
      <c r="P22" s="88">
        <v>-150.21</v>
      </c>
      <c r="Q22" s="105">
        <v>136.66</v>
      </c>
      <c r="R22" s="88">
        <v>793.39</v>
      </c>
      <c r="S22" s="88">
        <v>833.48</v>
      </c>
    </row>
    <row r="23" spans="4:19" x14ac:dyDescent="0.15">
      <c r="D23" s="88">
        <v>208</v>
      </c>
      <c r="E23" s="88">
        <v>436.66</v>
      </c>
      <c r="F23" s="88">
        <v>435.42</v>
      </c>
      <c r="G23" s="88">
        <v>-964.85</v>
      </c>
      <c r="H23" s="105">
        <v>20.983000000000001</v>
      </c>
      <c r="I23" s="88">
        <v>562.39</v>
      </c>
      <c r="J23" s="88">
        <v>127.98</v>
      </c>
      <c r="M23" s="88">
        <v>208</v>
      </c>
      <c r="N23" s="88">
        <v>1988</v>
      </c>
      <c r="O23" s="88">
        <v>2273.3000000000002</v>
      </c>
      <c r="P23" s="88">
        <v>-199.03</v>
      </c>
      <c r="Q23" s="105">
        <v>109.34</v>
      </c>
      <c r="R23" s="88">
        <v>780.57</v>
      </c>
      <c r="S23" s="88">
        <v>666.38</v>
      </c>
    </row>
    <row r="24" spans="4:19" x14ac:dyDescent="0.15">
      <c r="D24" s="88">
        <v>229</v>
      </c>
      <c r="E24" s="88">
        <v>609.74</v>
      </c>
      <c r="F24" s="88">
        <v>718.48</v>
      </c>
      <c r="G24" s="88">
        <v>-540.41999999999996</v>
      </c>
      <c r="H24" s="105">
        <v>34.61</v>
      </c>
      <c r="I24" s="88">
        <v>565.82000000000005</v>
      </c>
      <c r="J24" s="88">
        <v>211.54</v>
      </c>
      <c r="M24" s="88">
        <v>229</v>
      </c>
      <c r="N24" s="88">
        <v>4167.1000000000004</v>
      </c>
      <c r="O24" s="88">
        <v>4688.7</v>
      </c>
      <c r="P24" s="88">
        <v>206.77</v>
      </c>
      <c r="Q24" s="105">
        <v>225.82</v>
      </c>
      <c r="R24" s="88">
        <v>782.76</v>
      </c>
      <c r="S24" s="88">
        <v>1381.3</v>
      </c>
    </row>
    <row r="25" spans="4:19" x14ac:dyDescent="0.15">
      <c r="D25" s="88">
        <v>250</v>
      </c>
      <c r="E25" s="88">
        <v>553.09</v>
      </c>
      <c r="F25" s="88">
        <v>633.29</v>
      </c>
      <c r="G25" s="88">
        <v>-647.75</v>
      </c>
      <c r="H25" s="105">
        <v>30.484000000000002</v>
      </c>
      <c r="I25" s="88">
        <v>530.13</v>
      </c>
      <c r="J25" s="88">
        <v>186.17</v>
      </c>
      <c r="M25" s="88">
        <v>250</v>
      </c>
      <c r="N25" s="88">
        <v>3577</v>
      </c>
      <c r="O25" s="88">
        <v>4064.5</v>
      </c>
      <c r="P25" s="88">
        <v>56.273000000000003</v>
      </c>
      <c r="Q25" s="88">
        <v>195.68</v>
      </c>
      <c r="R25" s="88">
        <v>729.28</v>
      </c>
      <c r="S25" s="88">
        <v>1195.7</v>
      </c>
    </row>
    <row r="26" spans="4:19" x14ac:dyDescent="0.15">
      <c r="D26" s="88">
        <v>271</v>
      </c>
      <c r="E26" s="88">
        <v>513.02</v>
      </c>
      <c r="F26" s="88">
        <v>556.80999999999995</v>
      </c>
      <c r="G26" s="88">
        <v>-677.07</v>
      </c>
      <c r="H26" s="105">
        <v>26.797999999999998</v>
      </c>
      <c r="I26" s="88">
        <v>522.58000000000004</v>
      </c>
      <c r="J26" s="88">
        <v>163.53</v>
      </c>
      <c r="M26" s="88">
        <v>271</v>
      </c>
      <c r="N26" s="88">
        <v>3006.6</v>
      </c>
      <c r="O26" s="88">
        <v>3442.8</v>
      </c>
      <c r="P26" s="88">
        <v>18.872</v>
      </c>
      <c r="Q26" s="88">
        <v>165.69</v>
      </c>
      <c r="R26" s="88">
        <v>721.63</v>
      </c>
      <c r="S26" s="88">
        <v>1011.5</v>
      </c>
    </row>
    <row r="27" spans="4:19" x14ac:dyDescent="0.15">
      <c r="D27" s="88">
        <v>292</v>
      </c>
      <c r="E27" s="88">
        <v>487.01</v>
      </c>
      <c r="F27" s="88">
        <v>491.68</v>
      </c>
      <c r="G27" s="88">
        <v>-715.86</v>
      </c>
      <c r="H27" s="105">
        <v>23.675999999999998</v>
      </c>
      <c r="I27" s="88">
        <v>507.27</v>
      </c>
      <c r="J27" s="88">
        <v>144.38999999999999</v>
      </c>
      <c r="M27" s="88">
        <v>292</v>
      </c>
      <c r="N27" s="88">
        <v>2468.6</v>
      </c>
      <c r="O27" s="88">
        <v>2840.5</v>
      </c>
      <c r="P27" s="88">
        <v>-40.933</v>
      </c>
      <c r="Q27" s="88">
        <v>136.66</v>
      </c>
      <c r="R27" s="88">
        <v>699.72</v>
      </c>
      <c r="S27" s="88">
        <v>833.48</v>
      </c>
    </row>
    <row r="28" spans="4:19" x14ac:dyDescent="0.15">
      <c r="D28" s="88">
        <v>313</v>
      </c>
      <c r="E28" s="88">
        <v>462.39</v>
      </c>
      <c r="F28" s="88">
        <v>435.42</v>
      </c>
      <c r="G28" s="88">
        <v>-724.82</v>
      </c>
      <c r="H28" s="105">
        <v>20.983000000000001</v>
      </c>
      <c r="I28" s="88">
        <v>502.02</v>
      </c>
      <c r="J28" s="88">
        <v>127.98</v>
      </c>
      <c r="M28" s="88">
        <v>313</v>
      </c>
      <c r="N28" s="88">
        <v>1977.8</v>
      </c>
      <c r="O28" s="88">
        <v>2273.3000000000002</v>
      </c>
      <c r="P28" s="88">
        <v>-70.105000000000004</v>
      </c>
      <c r="Q28" s="88">
        <v>109.34</v>
      </c>
      <c r="R28" s="88">
        <v>690.68</v>
      </c>
      <c r="S28" s="88">
        <v>666.37</v>
      </c>
    </row>
    <row r="29" spans="4:19" x14ac:dyDescent="0.15">
      <c r="D29" s="88">
        <v>334</v>
      </c>
      <c r="E29" s="88">
        <v>726.98</v>
      </c>
      <c r="F29" s="88">
        <v>718.48</v>
      </c>
      <c r="G29" s="88">
        <v>-853.87</v>
      </c>
      <c r="H29" s="105">
        <v>34.610999999999997</v>
      </c>
      <c r="I29" s="88">
        <v>602.4</v>
      </c>
      <c r="J29" s="88">
        <v>211.55</v>
      </c>
      <c r="M29" s="88">
        <v>334</v>
      </c>
      <c r="N29" s="88">
        <v>4242.5</v>
      </c>
      <c r="O29" s="88">
        <v>4688.7</v>
      </c>
      <c r="P29" s="88">
        <v>0.99902000000000002</v>
      </c>
      <c r="Q29" s="88">
        <v>225.82</v>
      </c>
      <c r="R29" s="88">
        <v>843.72</v>
      </c>
      <c r="S29" s="88">
        <v>1381.3</v>
      </c>
    </row>
    <row r="30" spans="4:19" x14ac:dyDescent="0.15">
      <c r="D30" s="88">
        <v>355</v>
      </c>
      <c r="E30" s="88">
        <v>621.30999999999995</v>
      </c>
      <c r="F30" s="88">
        <v>633.29</v>
      </c>
      <c r="G30" s="88">
        <v>-920.59</v>
      </c>
      <c r="H30" s="105">
        <v>30.484999999999999</v>
      </c>
      <c r="I30" s="88">
        <v>578.29999999999995</v>
      </c>
      <c r="J30" s="88">
        <v>186.18</v>
      </c>
      <c r="M30" s="88">
        <v>355</v>
      </c>
      <c r="N30" s="88">
        <v>3631.5</v>
      </c>
      <c r="O30" s="88">
        <v>4064.5</v>
      </c>
      <c r="P30" s="88">
        <v>-77.063999999999993</v>
      </c>
      <c r="Q30" s="105">
        <v>195.68</v>
      </c>
      <c r="R30" s="88">
        <v>812.85</v>
      </c>
      <c r="S30" s="88">
        <v>1195.7</v>
      </c>
    </row>
    <row r="31" spans="4:19" x14ac:dyDescent="0.15">
      <c r="D31" s="88">
        <v>376</v>
      </c>
      <c r="E31" s="88">
        <v>544.79</v>
      </c>
      <c r="F31" s="88">
        <v>556.80999999999995</v>
      </c>
      <c r="G31" s="88">
        <v>-936.21</v>
      </c>
      <c r="H31" s="105">
        <v>26.797999999999998</v>
      </c>
      <c r="I31" s="88">
        <v>575.04</v>
      </c>
      <c r="J31" s="88">
        <v>163.53</v>
      </c>
      <c r="M31" s="88">
        <v>376</v>
      </c>
      <c r="N31" s="88">
        <v>3045.3</v>
      </c>
      <c r="O31" s="88">
        <v>3442.8</v>
      </c>
      <c r="P31" s="88">
        <v>-103.67</v>
      </c>
      <c r="Q31" s="105">
        <v>165.69</v>
      </c>
      <c r="R31" s="88">
        <v>809.09</v>
      </c>
      <c r="S31" s="88">
        <v>1011.5</v>
      </c>
    </row>
    <row r="32" spans="4:19" x14ac:dyDescent="0.15">
      <c r="D32" s="88">
        <v>397</v>
      </c>
      <c r="E32" s="88">
        <v>486.23</v>
      </c>
      <c r="F32" s="88">
        <v>491.68</v>
      </c>
      <c r="G32" s="88">
        <v>-956.46</v>
      </c>
      <c r="H32" s="105">
        <v>23.675999999999998</v>
      </c>
      <c r="I32" s="88">
        <v>566.13</v>
      </c>
      <c r="J32" s="88">
        <v>144.38999999999999</v>
      </c>
      <c r="M32" s="88">
        <v>397</v>
      </c>
      <c r="N32" s="88">
        <v>2492.3000000000002</v>
      </c>
      <c r="O32" s="88">
        <v>2840.5</v>
      </c>
      <c r="P32" s="88">
        <v>-150.21</v>
      </c>
      <c r="Q32" s="88">
        <v>136.66</v>
      </c>
      <c r="R32" s="88">
        <v>793.39</v>
      </c>
      <c r="S32" s="88">
        <v>833.48</v>
      </c>
    </row>
    <row r="33" spans="4:19" x14ac:dyDescent="0.15">
      <c r="D33" s="88">
        <v>418</v>
      </c>
      <c r="E33" s="88">
        <v>436.66</v>
      </c>
      <c r="F33" s="88">
        <v>435.41</v>
      </c>
      <c r="G33" s="88">
        <v>-964.85</v>
      </c>
      <c r="H33" s="105">
        <v>20.983000000000001</v>
      </c>
      <c r="I33" s="88">
        <v>562.39</v>
      </c>
      <c r="J33" s="88">
        <v>127.98</v>
      </c>
      <c r="M33" s="88">
        <v>418</v>
      </c>
      <c r="N33" s="88">
        <v>1988</v>
      </c>
      <c r="O33" s="88">
        <v>2273.3000000000002</v>
      </c>
      <c r="P33" s="88">
        <v>-199.03</v>
      </c>
      <c r="Q33" s="88">
        <v>109.34</v>
      </c>
      <c r="R33" s="88">
        <v>780.57</v>
      </c>
      <c r="S33" s="88">
        <v>666.37</v>
      </c>
    </row>
    <row r="34" spans="4:19" x14ac:dyDescent="0.15">
      <c r="H34" s="105"/>
      <c r="Q34" s="105"/>
    </row>
    <row r="35" spans="4:19" x14ac:dyDescent="0.15">
      <c r="H35" s="105"/>
      <c r="Q35" s="105"/>
    </row>
    <row r="36" spans="4:19" x14ac:dyDescent="0.15">
      <c r="H36" s="105"/>
      <c r="Q36" s="105"/>
    </row>
    <row r="37" spans="4:19" x14ac:dyDescent="0.15">
      <c r="H37" s="105"/>
    </row>
    <row r="38" spans="4:19" x14ac:dyDescent="0.15">
      <c r="H38" s="105"/>
      <c r="Q38" s="105"/>
    </row>
    <row r="39" spans="4:19" x14ac:dyDescent="0.15">
      <c r="H39" s="105"/>
      <c r="Q39" s="105"/>
    </row>
    <row r="40" spans="4:19" x14ac:dyDescent="0.15">
      <c r="H40" s="105"/>
    </row>
    <row r="41" spans="4:19" x14ac:dyDescent="0.15">
      <c r="H41" s="105"/>
    </row>
    <row r="42" spans="4:19" x14ac:dyDescent="0.15">
      <c r="H42" s="105"/>
      <c r="Q42" s="105"/>
    </row>
    <row r="43" spans="4:19" x14ac:dyDescent="0.15">
      <c r="H43" s="105"/>
      <c r="Q43" s="105"/>
    </row>
    <row r="44" spans="4:19" x14ac:dyDescent="0.15">
      <c r="H44" s="105"/>
      <c r="Q44" s="105"/>
    </row>
    <row r="45" spans="4:19" x14ac:dyDescent="0.15">
      <c r="H45" s="105"/>
      <c r="Q45" s="105"/>
    </row>
    <row r="46" spans="4:19" x14ac:dyDescent="0.15">
      <c r="H46" s="105"/>
    </row>
    <row r="47" spans="4:19" x14ac:dyDescent="0.15">
      <c r="H47" s="105"/>
    </row>
    <row r="48" spans="4:19" x14ac:dyDescent="0.15">
      <c r="H48" s="105"/>
    </row>
    <row r="49" spans="4:20" x14ac:dyDescent="0.15">
      <c r="H49" s="105"/>
    </row>
    <row r="50" spans="4:20" x14ac:dyDescent="0.15">
      <c r="H50" s="105"/>
      <c r="Q50" s="105"/>
    </row>
    <row r="51" spans="4:20" x14ac:dyDescent="0.15">
      <c r="H51" s="105"/>
      <c r="Q51" s="105"/>
    </row>
    <row r="52" spans="4:20" x14ac:dyDescent="0.15">
      <c r="D52" s="104" t="s">
        <v>18</v>
      </c>
      <c r="E52" s="104">
        <f t="array" ref="E52">MAX(ABS(E4:E51))</f>
        <v>789.64</v>
      </c>
      <c r="F52" s="104">
        <f t="array" ref="F52">MAX(ABS(F4:F51))</f>
        <v>718.48</v>
      </c>
      <c r="G52" s="104">
        <f t="array" ref="G52">MAX(ABS(G4:G51))</f>
        <v>1974.8</v>
      </c>
      <c r="H52" s="104">
        <f t="array" ref="H52">MAX(ABS(H4:H51))</f>
        <v>34.610999999999997</v>
      </c>
      <c r="I52" s="104">
        <f t="array" ref="I52">MAX(ABS(I4:I51))</f>
        <v>602.4</v>
      </c>
      <c r="J52" s="104">
        <f t="array" ref="J52">MAX(ABS(J4:J51))</f>
        <v>211.55</v>
      </c>
      <c r="K52" s="104"/>
      <c r="L52" s="104"/>
      <c r="M52" s="104" t="s">
        <v>18</v>
      </c>
      <c r="N52" s="104">
        <f t="array" ref="N52">MAX(ABS(N4:N51))</f>
        <v>4347</v>
      </c>
      <c r="O52" s="104">
        <f t="array" ref="O52">MAX(ABS(O4:O51))</f>
        <v>4688.7</v>
      </c>
      <c r="P52" s="104">
        <f t="array" ref="P52">MAX(ABS(P4:P51))</f>
        <v>2829.6</v>
      </c>
      <c r="Q52" s="104">
        <f t="array" ref="Q52">MAX(ABS(Q4:Q51))</f>
        <v>225.82</v>
      </c>
      <c r="R52" s="104">
        <f t="array" ref="R52">MAX(ABS(R4:R51))</f>
        <v>843.72</v>
      </c>
      <c r="S52" s="104">
        <f t="array" ref="S52">MAX(ABS(S4:S51))</f>
        <v>1381.3</v>
      </c>
      <c r="T52" s="104"/>
    </row>
    <row r="53" spans="4:20" x14ac:dyDescent="0.15">
      <c r="D53" s="103"/>
      <c r="E53" s="103">
        <f t="shared" ref="E53:J53" si="0">ABS(E52)</f>
        <v>789.64</v>
      </c>
      <c r="F53" s="103">
        <f t="shared" si="0"/>
        <v>718.48</v>
      </c>
      <c r="G53" s="103">
        <f t="shared" si="0"/>
        <v>1974.8</v>
      </c>
      <c r="H53" s="103">
        <f t="shared" si="0"/>
        <v>34.610999999999997</v>
      </c>
      <c r="I53" s="103">
        <f t="shared" si="0"/>
        <v>602.4</v>
      </c>
      <c r="J53" s="103">
        <f t="shared" si="0"/>
        <v>211.55</v>
      </c>
      <c r="K53" s="103"/>
      <c r="L53" s="103"/>
      <c r="M53" s="103"/>
      <c r="N53" s="103">
        <f t="shared" ref="N53:S53" si="1">ABS(N52)</f>
        <v>4347</v>
      </c>
      <c r="O53" s="103">
        <f t="shared" si="1"/>
        <v>4688.7</v>
      </c>
      <c r="P53" s="103">
        <f t="shared" si="1"/>
        <v>2829.6</v>
      </c>
      <c r="Q53" s="103">
        <f t="shared" si="1"/>
        <v>225.82</v>
      </c>
      <c r="R53" s="103">
        <f t="shared" si="1"/>
        <v>843.72</v>
      </c>
      <c r="S53" s="103">
        <f t="shared" si="1"/>
        <v>1381.3</v>
      </c>
      <c r="T53" s="103"/>
    </row>
    <row r="55" spans="4:20" x14ac:dyDescent="0.15">
      <c r="M55" s="88" t="s">
        <v>170</v>
      </c>
      <c r="N55" s="102">
        <v>0.1</v>
      </c>
    </row>
    <row r="56" spans="4:20" x14ac:dyDescent="0.15">
      <c r="M56" s="88" t="s">
        <v>20</v>
      </c>
      <c r="N56" s="102">
        <v>0.18</v>
      </c>
    </row>
    <row r="57" spans="4:20" x14ac:dyDescent="0.15">
      <c r="M57" s="88" t="s">
        <v>19</v>
      </c>
      <c r="N57" s="98">
        <v>225.2</v>
      </c>
    </row>
    <row r="58" spans="4:20" x14ac:dyDescent="0.15">
      <c r="M58" s="88" t="s">
        <v>169</v>
      </c>
      <c r="N58" s="98">
        <f>(N53/2+R53/2/N55+S53/N56)/1000</f>
        <v>14.065988888888889</v>
      </c>
    </row>
    <row r="59" spans="4:20" x14ac:dyDescent="0.15">
      <c r="M59" s="88" t="s">
        <v>168</v>
      </c>
      <c r="N59" s="98">
        <f>SQRT(O53^2+P53^2)/2/1000</f>
        <v>2.7381811412870407</v>
      </c>
    </row>
    <row r="60" spans="4:20" x14ac:dyDescent="0.15">
      <c r="M60" s="88" t="s">
        <v>167</v>
      </c>
      <c r="N60" s="98">
        <f>N59/33.47+N58/100</f>
        <v>0.22246990207344344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Q235</vt:lpstr>
      <vt:lpstr>Q355</vt:lpstr>
      <vt:lpstr>许用应力</vt:lpstr>
      <vt:lpstr>基础载荷</vt:lpstr>
      <vt:lpstr>螺栓 500 </vt:lpstr>
      <vt:lpstr>螺栓 600</vt:lpstr>
      <vt:lpstr>螺栓 300</vt:lpstr>
      <vt:lpstr>螺栓 200</vt:lpstr>
      <vt:lpstr>螺栓</vt:lpstr>
      <vt:lpstr>频率</vt:lpstr>
      <vt:lpstr>Sheet3</vt:lpstr>
      <vt:lpstr>异型钢焊缝评定</vt:lpstr>
      <vt:lpstr>托臂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2026-05-27T08:47:34Z</dcterms:modified>
</cp:coreProperties>
</file>